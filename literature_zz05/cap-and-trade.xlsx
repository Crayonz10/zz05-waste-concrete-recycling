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340" windowHeight="10740"/>
  </bookViews>
  <sheets>
    <sheet name="Publi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<sst xmlns="http://schemas.openxmlformats.org/spreadsheetml/2006/main" count="2827" uniqueCount="1163">
  <si>
    <t>Publication Type</t>
  </si>
  <si>
    <t>Authors</t>
  </si>
  <si>
    <t>Author Full Names</t>
  </si>
  <si>
    <t>Article Title</t>
  </si>
  <si>
    <t>Source Title</t>
  </si>
  <si>
    <t>Abstract</t>
  </si>
  <si>
    <t>Researcher Ids</t>
  </si>
  <si>
    <t>ORCIDs</t>
  </si>
  <si>
    <t>ISSN</t>
  </si>
  <si>
    <t>eISSN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</si>
  <si>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</si>
  <si>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</si>
  <si>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</si>
  <si>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</si>
  <si>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</si>
  <si>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</si>
  <si>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</si>
  <si>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</si>
  <si>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</si>
  <si>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</si>
  <si>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</si>
  <si>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</si>
  <si>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</si>
  <si>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</si>
  <si>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</si>
  <si>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Web of Science Index</t>
  </si>
  <si>
    <t>Pubmed Id</t>
  </si>
  <si>
    <t>UT (Unique WOS ID)</t>
  </si>
  <si>
    <t>Web of Science Record</t>
  </si>
  <si>
    <t>Open Access Designations</t>
  </si>
  <si>
    <t>Hot Paper Status</t>
  </si>
  <si>
    <t>Highly Cited Status</t>
  </si>
  <si>
    <t>Date of Export</t>
  </si>
  <si>
    <t xml:space="preserve">  </t>
  </si>
  <si>
    <t>J</t>
  </si>
  <si>
    <t>Wu, WQ; Li, M; Zhang, M; Wang, YQ; Wang, LK; You, Y</t>
  </si>
  <si>
    <t>Wu, Wenqi; Li, Ming; Zhang, Ming; Wang, Yanqing; Wang, Longke; You, Yi</t>
  </si>
  <si>
    <t>Electric vehicle battery closed-loop supply chain pricing and carbon reduction decisions under the carbon cap-and-trade and reward-penalty policies</t>
  </si>
  <si>
    <t>PROCESS SAFETY AND ENVIRONMENTAL PROTECTION</t>
  </si>
  <si>
    <t>Recycling end-of-life electric vehicles (EVs) batteries to conserve resources and reduce carbon emissions has obtained a great deal of concern. This paper studied how carbon cap-and-trade and reward-penalty measures jointly impacted EV battery pricing and decarbonization strategies. Three recycling modes covering singleparticipator, mixed-participator, and joint recycling are established. Optimal pricing and carbon mitigation strategies, total revenue, and recycling percentage are solved and compared. The dynamic effects of target recycling percentage and rewards and punishments on total revenue and recycling percentage are analyzed by numerical examples. Results show that: (1) The factory price, selling price, collection price, and carbon emission mitigation scale of power batteries are affected by cap-and-trade and reward-penalty mechanisms; (2) Rewardpenalty can improve both total revenue and recycling percentage; (3) The cap-and-trade mechanism optimizes the total revenues, showing that the total revenue increase with the increasement of carbon quota and carbon price, while the increase of carbon price leads to worse recycling percentage; (4) The supply chain performance under different recycling modes is affected by policy intervention, and the joint recycling mode is better.</t>
  </si>
  <si>
    <t>Li, Ming/AGC-8952-2022; Wu, Wenqi/KBC-0999-2024; Zhang, Ming/V-5262-2019</t>
  </si>
  <si>
    <t>Li, Ming/0000-0003-4119-7340</t>
  </si>
  <si>
    <t>0957-5820</t>
  </si>
  <si>
    <t>1744-3598</t>
  </si>
  <si>
    <t>DEC 2024</t>
  </si>
  <si>
    <t>2024</t>
  </si>
  <si>
    <t>192</t>
  </si>
  <si>
    <t/>
  </si>
  <si>
    <t>1467</t>
  </si>
  <si>
    <t>1482</t>
  </si>
  <si>
    <t>10.1016/j.psep.2024.10.121</t>
  </si>
  <si>
    <t>NOV 2024</t>
  </si>
  <si>
    <t>Science Citation Index Expanded (SCI-EXPANDED)</t>
  </si>
  <si>
    <t>WOS:001355979400001</t>
  </si>
  <si>
    <t>2026-04-24</t>
  </si>
  <si>
    <t>Bai, QG; Xu, JT; Zhang, YZ</t>
  </si>
  <si>
    <t>Bai, Qingguo; Xu, Jianteng; Zhang, Yuzhong</t>
  </si>
  <si>
    <t>The distributionally robust optimization model for a remanufacturing system under cap-and-trade policy: a newsvendor approach</t>
  </si>
  <si>
    <t>ANNALS OF OPERATIONS RESEARCH</t>
  </si>
  <si>
    <t>This paper considers a remanufacturing system in which the remanufacturer uses both the fresh raw material and recycled material to produce new products. Only partial information of the demand distribution, including the mean and variance, is available in this system. The operational activities of the remanufacturer are major contributors to carbon emissions, and a government agency imposes a cap-and-trade (carbon emission trading) policy on the remanufacturer. In the context of the distributionally robust newsvendor model, a maxmin approach is used to solve the optimal joint collection and production quantities. To study whether implementation of a cap-and-trade policy improves the remanufacturer's expected profit and reduces corresponding carbon emissions, the case where the government agency does not impose cap-and-trade policy is considered and compared. Finally, numerical analysis is conducted to illustrate and complement the analytical results and to investigate the influences of several main parameters on the distributionally robust newsvendor model for the remanufacturing system under a cap-and-trade policy.</t>
  </si>
  <si>
    <t>Bai, Qingguo/0000-0001-6812-0293; Xu, Jianteng/0000-0003-4413-8063</t>
  </si>
  <si>
    <t>0254-5330</t>
  </si>
  <si>
    <t>1572-9338</t>
  </si>
  <si>
    <t>FEB 2022</t>
  </si>
  <si>
    <t>2022</t>
  </si>
  <si>
    <t>309</t>
  </si>
  <si>
    <t>2</t>
  </si>
  <si>
    <t>SI</t>
  </si>
  <si>
    <t>731</t>
  </si>
  <si>
    <t>760</t>
  </si>
  <si>
    <t>10.1007/s10479-020-03642-4</t>
  </si>
  <si>
    <t>MAY 2020</t>
  </si>
  <si>
    <t>WOS:000559597700001</t>
  </si>
  <si>
    <t>Lyu, RX; Zhang, CH; Li, ZT; Li, YT</t>
  </si>
  <si>
    <t>Lyu, Ruxia; Zhang, Cuihua; Li, Zhitang; Li, Yanting</t>
  </si>
  <si>
    <t>Manufacturers' integrated strategies for emission reduction and recycling: The role of government regulations</t>
  </si>
  <si>
    <t>COMPUTERS &amp; INDUSTRIAL ENGINEERING</t>
  </si>
  <si>
    <t>The growing problem of environmental degradation has increased the government's awareness of issuing stricter regulatory policies including cap-and-trade, strict carbon cap and carbon tax. In response to government regulations, the manufacturer has invested in green technologies to reduce emissions, and considered whether to engage in recycling. Motivated by these issues, this paper investigates how each type of government regulation to curb emissions differs systematically, and the manufacturer's recycling decision. Our results show that (i) whether the manufacturer engages in recycling depends on technological innovation and carbon cap; (ii) the manufacturer is inclined to carbon tax or cap-and-trade, but never prefers strict carbon cap; (iii) under fewer carbon quotas, the government would issue cap-and-trade or carbon tax based on carbon trading price and tax rate, on the contrary, strict carbon cap is the best choice.</t>
  </si>
  <si>
    <t>Li, Zhitang/PNH-3161-2026</t>
  </si>
  <si>
    <t>Li, Yanting/0009-0004-6216-215X</t>
  </si>
  <si>
    <t>0360-8352</t>
  </si>
  <si>
    <t>1879-0550</t>
  </si>
  <si>
    <t>JAN 2022</t>
  </si>
  <si>
    <t>163</t>
  </si>
  <si>
    <t>107769</t>
  </si>
  <si>
    <t>10.1016/j.cie.2021.107769</t>
  </si>
  <si>
    <t>Science Citation Index Expanded (SCI-EXPANDED); Social Science Citation Index (SSCI)</t>
  </si>
  <si>
    <t>WOS:000775907400002</t>
  </si>
  <si>
    <t>Cao, QY; Xiao, ZD; Zhou, GH</t>
  </si>
  <si>
    <t>Cao, Quanyao; Xiao, Zhongdong; Zhou, Guanghui</t>
  </si>
  <si>
    <t>DEVELOPING A SYMBIOTIC RELATIONSHIP BETWEEN RECYCLERS AND MANUFACTURERS: AN EVOLUTIONARY GAME PERSPECTIVE</t>
  </si>
  <si>
    <t>JOURNAL OF INDUSTRIAL AND MANAGEMENT OPTIMIZATION</t>
  </si>
  <si>
    <t>. Under the pressure of environmental performance appraisal and the public's environmental concerns, based on industrial symbiosis and using an evolutionary game, our paper investigates firms' abatement behavior. We explore whether implementing carbon taxation and cap-and-trade or dynamic carbon taxation and cap-and-trade can effectively induce firms to reduce carbon emissions through industrial symbiosis. Moreover, we propose a wastedependent symbiotic chain between recycling suppliers and manufacturers. Our results indicate that carbon taxation and cap-and-trade can effectively facilitate the formation of a symbiotic chain. In addition, the government should enforce taxation rates and adjust market-oriented carbon trading prices so that the two players can realize a win-win situation through the symbiotic chain. Concerning the evolutionary stability trajectories of the two populations, a mixed strategy existed only under dynamic carbon taxation and cap-and-trade situations. Additionally, we find that the impact of dynamic carbon taxation on the two populations' intention to apply carbon emission reduction has the opposite effect. Further simulations prove that the taxation maximum does not affect the steady state of the recycling suppliers; however, as the taxation maximum rises, the proportion of manufacturers who adopt carbon emission reduction decreases.</t>
  </si>
  <si>
    <t>Quanyao, Cao/OTJ-0565-2025</t>
  </si>
  <si>
    <t>1547-5816</t>
  </si>
  <si>
    <t>1553-166X</t>
  </si>
  <si>
    <t>NOV 2023</t>
  </si>
  <si>
    <t>2023</t>
  </si>
  <si>
    <t>19</t>
  </si>
  <si>
    <t>11</t>
  </si>
  <si>
    <t>8389</t>
  </si>
  <si>
    <t>8410</t>
  </si>
  <si>
    <t>10.3934/jimo.2023043</t>
  </si>
  <si>
    <t>WOS:000988785400023</t>
  </si>
  <si>
    <t>Chen, YY; Li, BY; Bai, QG; Liu, Z</t>
  </si>
  <si>
    <t>Chen, Yuyu; Li, Bangyi; Bai, Qingguo; Liu, Zhi</t>
  </si>
  <si>
    <t>Decision-Making and Environmental Implications under Cap-and-Trade and Take-Back Regulations</t>
  </si>
  <si>
    <t>INTERNATIONAL JOURNAL OF ENVIRONMENTAL RESEARCH AND PUBLIC HEALTH</t>
  </si>
  <si>
    <t>To reduce carbon emissions during production and realize the recycling of resources, the government has promulgated carbon cap-and-trade regulation and take-back regulation separately. This paper firstly analyses the manufacturing, remanufacturing and collection decisions of a monopoly manufacturer under cap-and-trade regulation and take-back regulation conditions, and then explores the environmental impact (i.e., carbon emissions) of both carbon regulation and more stringent take-back regulation. Finally, numerical examples are provided to illustrate the theoretical results. The results indicate that it will do good for the environment once the cap-and-trade regulation is carried out. We also conclude that government's supervision of carbon trading price plays an important role in reducing the environmental impact. Furthermore, unexpectedly, we prove that if emissions intensity of a remanufactured (vis-a-vis new) product is sufficiently high, the improvement of collection and remanufacturing targets might lead to the deterioration of environment.</t>
  </si>
  <si>
    <t>Liu, Zhi/AAM-8068-2021</t>
  </si>
  <si>
    <t>Liu, Zhi/0000-0002-9624-3052; Bai, Qingguo/0000-0001-6812-0293</t>
  </si>
  <si>
    <t>1660-4601</t>
  </si>
  <si>
    <t>APR 2018</t>
  </si>
  <si>
    <t>2018</t>
  </si>
  <si>
    <t>15</t>
  </si>
  <si>
    <t>4</t>
  </si>
  <si>
    <t>678</t>
  </si>
  <si>
    <t>10.3390/ijerph15040678</t>
  </si>
  <si>
    <t>29617334</t>
  </si>
  <si>
    <t>WOS:000434868800117</t>
  </si>
  <si>
    <t>Qin, L; Chen, WD; Ding, JF</t>
  </si>
  <si>
    <t>Qin, Lin; Chen, Weida; Ding, Junfei</t>
  </si>
  <si>
    <t>How to develop recycling strategies for capital-constrained remanufacturer under carbon cap-and-trade mechanism?</t>
  </si>
  <si>
    <t>Previously, governments have implemented recycling regulations, such as mandatory take-back target, to compel corporations to collect used products. In recent years, however, there has been a shift toward implementing carbon cap-and-trade policy to drive companies toward environmental objectives. This transition prompts a critical question: Is it still necessary for governments to enforce stricter recycling legislation alongside a carbon cap-and-trade policy? Additionally, how can capital-constrained companies effectively optimize production decisions under these combined regulations and policies? To address these issues, we analyze manufacturing, collection, and remanufacturing strategies within capital-constrained and financing models under carbon cap-and-trade policy and varying regulation levels: no regulation, collection-only regulation, and dual regulations. Our findings reveal that: (1) Environmental performance varies significantly depending on carbon prices and regulation levels. Specifically, high carbon prices without regulations benefit the environment, whereas low carbon prices combined with strict regulations harm it. (2) Stricter regulations increase the volume of new product but decrease the volume of remanufactured product, while also reducing collection and remanufacturing efficiency. (3) Bank financing can enhance production quantities and profits compared to the capital-constrained scenario. These insights not only guide governments in designing effective policies but also enable companies to make strategic production decisions.</t>
  </si>
  <si>
    <t>Ding, Junfei/ABB-2318-2020; Chen, Weida/AFR-6401-2022</t>
  </si>
  <si>
    <t>Ding, Junfei/0009-0003-5069-141X</t>
  </si>
  <si>
    <t>OCT 2025</t>
  </si>
  <si>
    <t>2025</t>
  </si>
  <si>
    <t>208</t>
  </si>
  <si>
    <t>111275</t>
  </si>
  <si>
    <t>10.1016/j.cie.2025.111275</t>
  </si>
  <si>
    <t>JUL 2025</t>
  </si>
  <si>
    <t>WOS:001529758400002</t>
  </si>
  <si>
    <t>MacKenzie, IA; Ohndorf, M</t>
  </si>
  <si>
    <t>MacKenzie, Ian A.; Ohndorf, Markus</t>
  </si>
  <si>
    <t>Cap-and-trade, taxes, and distributional conflict</t>
  </si>
  <si>
    <t>JOURNAL OF ENVIRONMENTAL ECONOMICS AND MANAGEMENT</t>
  </si>
  <si>
    <t>Enacting market-based environmental regulation, such as emissions taxes and cap-and-trade programs, often create rents that are contested by agents. In this paper, we create a framework that compares social welfare from alternative market-based environmental policy instruments under the presence of rent seeking. We show that, contrary to the commonly held view, non-revenue-raising instruments (NRRIs) are in many cases preferable over revenue-raising instruments (RRIs). We find that the choice of instrument depends on the size of a potential revenue-recycling effect and the level of preassigned rents. (C) 2011 Elsevier Inc. All rights reserved.</t>
  </si>
  <si>
    <t>Ohndorf, Markus/A-4341-2013</t>
  </si>
  <si>
    <t>Ohndorf, Markus/0000-0001-9313-0338; MacKenzie, Ian A/0000-0002-4631-764X</t>
  </si>
  <si>
    <t>0095-0696</t>
  </si>
  <si>
    <t>1096-0449</t>
  </si>
  <si>
    <t>JAN 2012</t>
  </si>
  <si>
    <t>2012</t>
  </si>
  <si>
    <t>63</t>
  </si>
  <si>
    <t>1</t>
  </si>
  <si>
    <t>51</t>
  </si>
  <si>
    <t>65</t>
  </si>
  <si>
    <t>10.1016/j.jeem.2011.05.002</t>
  </si>
  <si>
    <t>Social Science Citation Index (SSCI)</t>
  </si>
  <si>
    <t>WOS:000298622000004</t>
  </si>
  <si>
    <t>Goettle, RJ; Fawcett, AA</t>
  </si>
  <si>
    <t>Goettle, Richard J.; Fawcett, Allen A.</t>
  </si>
  <si>
    <t>The structural effects of cap and trade climate policy</t>
  </si>
  <si>
    <t>ENERGY ECONOMICS</t>
  </si>
  <si>
    <t>The Inter-temporal General Equilibrium Model (IGEM) explores the cost to the U.S. economy of increasingly more stringent cap and trade regimes. The economy-wide losses are small with energy, agriculture, chemicals, high tech manufacturing and trade being most affected. The availability of lower cost offsets substantially reduces these economic losses. The economy becomes less capital but more labor intensive. Household welfare losses are smaller for full consumption (goods, services and leisure). A more inelastic trade-off between consumption and leisure dramatically reduces policy costs as do more favorable revenue recycling options. Induced technical change yields a small, measurable reduction in policy costs. (C) 2009 Elsevier B.V. All rights reserved.</t>
  </si>
  <si>
    <t>Fawcett, Allen/V-9781-2017</t>
  </si>
  <si>
    <t>Fawcett, Allen/0000-0002-2980-0402</t>
  </si>
  <si>
    <t>0140-9883</t>
  </si>
  <si>
    <t>1873-6181</t>
  </si>
  <si>
    <t>2009</t>
  </si>
  <si>
    <t>31</t>
  </si>
  <si>
    <t>S244</t>
  </si>
  <si>
    <t>S253</t>
  </si>
  <si>
    <t>10.1016/j.eneco.2009.06.016</t>
  </si>
  <si>
    <t>WOS:000273377900017</t>
  </si>
  <si>
    <t>Huang, YX; He, PF; Cheng, T; Xu, SY; Pang, C; Tang, HJ</t>
  </si>
  <si>
    <t>Huang, Yuxin; He, Pengfei; Cheng, T. C. E.; Xu, Senyu; Pang, Chuan; Tang, Huajun</t>
  </si>
  <si>
    <t>Optimal strategies for carbon emissions policies in competitive closed-loop supply chains: A comparative analysis of carbon tax and cap-and-trade policies</t>
  </si>
  <si>
    <t>This study addresses a comparative analysis of carbon emissions policies and optimal decisions in competitive closed-loop supply chains. It examines three policy scenarios: a single carbon tax, a single cap-and-trade, and a mixed policy. Competitive intensity, the degree of competition among manufacturers, and product recycling rate, a key element in closed-loop supply chains, can impact the comparative analysis of carbon policies and optimal decisions in competitive closed-loop supply chains. A supply chain system is constructed, consisting of two manufacturers and a shared retailer. We employ a decentralized decision-making approach, with a Cournot game between the manufacturers and a Stackelberg game with the retailer. The analysis considers the impacts of carbon tax, carbon trading price, and recycling rate on optimal decisions and total supply chain profit. The results demonstrate that the mixed carbon policy can yield superior economic and environmental benefits compared with the single carbon tax policy. Mixed policies are likely to be relatively less profitable in most cases than a single cap-and-trade policy. Notably, when the mixed carbon quota exceeds a certain threshold, the mixed policy surpasses the single cap-and-trade policy both economically and environmentally. This study extends previous research by examining the impacts of the recycling rate and various carbon policies on supply chain decisions and profit. The findings offer insights into optimal strategies for reducing supply chain carbon emissions, which benefits policymakers and managers. Finally, it suggests that enterprises should consider a mixed carbon policy to balance economic and environmental goals.</t>
  </si>
  <si>
    <t>He, Peng Fei/HKM-8067-2023; Tang, Huajun/CAH-1772-2022; Cheng, Edwin/D-5688-2015</t>
  </si>
  <si>
    <t>Xu, Senyu/0000-0003-4264-5408; HUANG, YUXIN/0000-0002-7560-5472; Tang, Huajun/0000-0002-0186-165X; Cheng, Edwin/0000-0001-5127-6419</t>
  </si>
  <si>
    <t>SEP 2024</t>
  </si>
  <si>
    <t>195</t>
  </si>
  <si>
    <t>110423</t>
  </si>
  <si>
    <t>10.1016/j.cie.2024.110423</t>
  </si>
  <si>
    <t>AUG 2024</t>
  </si>
  <si>
    <t>WOS:001289611100001</t>
  </si>
  <si>
    <t>Das, P; Sen, N</t>
  </si>
  <si>
    <t>Das, Prabal; Sen, Nabendu</t>
  </si>
  <si>
    <t>A Multi-phase Energy and Emission Model for Sustainable Electric Vehicle Battery Production with Green Investment and Cap-and-Trade</t>
  </si>
  <si>
    <t>PROCESS INTEGRATION AND OPTIMIZATION FOR SUSTAINABILITY</t>
  </si>
  <si>
    <t>This study proposes a novel multi-phase energy-emission-cost optimization framework for sustainable electric vehicle (EV) battery production. The model integrates four key sustainability levers-RE transition, green investment, recycling efficiency, and a cap-and-trade mechanism-within a unified production-inventory system. It introduces a sigmoidal transition function to capture the gradual adoption of renewable energy (RE), an investment-responsive recycling efficiency model, and a lifecycle-based emission cost formulation embedded within a cap-and-trade policy. A demand function sensitive to both price and sustainability investment further strengthens the policy-decision interface. The model is solved using advanced variants of particle swarm optimization (WPSO and CPSO) to jointly optimize five critical decision variables: production rate, unit selling price, green investment amount, production duration, and replenishment cycle length. Numerical results show that a green investment of USD 42.02 achieves an 11.55% reduction in total production cost (USD 625.43 to USD 553.17), a 5.48% decrease in carbon emissions (365 to 345 kg CO2), and a major improvement in recycling efficiency (from 0.10 to 0.94). The proposed framework delivers methodological and practical contributions by integrating environmental dynamics, policy instruments, and operational decision-making, offering valuable insights for manufacturers and regulators striving toward Sustainable Development Goals (SDGs) 7, 9, 12, and 13.</t>
  </si>
  <si>
    <t>Das, Prabal/OIU-3360-2025</t>
  </si>
  <si>
    <t>Sen, Nabendu/0000-0001-7900-161X; Das, Prabal/0009-0003-0221-7510</t>
  </si>
  <si>
    <t>2509-4238</t>
  </si>
  <si>
    <t>2509-4246</t>
  </si>
  <si>
    <t>MAR 2026</t>
  </si>
  <si>
    <t>2026</t>
  </si>
  <si>
    <t>10</t>
  </si>
  <si>
    <t>69</t>
  </si>
  <si>
    <t>94</t>
  </si>
  <si>
    <t>10.1007/s41660-025-00558-z</t>
  </si>
  <si>
    <t>AUG 2025</t>
  </si>
  <si>
    <t>Emerging Sources Citation Index (ESCI)</t>
  </si>
  <si>
    <t>WOS:001545993000001</t>
  </si>
  <si>
    <t>Lan, HY; Si, XY; Li, XC; Tang, JH</t>
  </si>
  <si>
    <t>Lan, Haiyan; Si, Xinying; Li, Xiangchen; Tang, Jinhuan</t>
  </si>
  <si>
    <t>Dynamic decision-making and differential game analysis of ESG-constrained closed-loop supply chains under cap-and-trade regulation</t>
  </si>
  <si>
    <t>SCIENTIFIC REPORTS</t>
  </si>
  <si>
    <t>This paper constructs a differential game model for a closed-loop supply chain operating under environmental, social, and governance (ESG) constraints within a cap-and-trade setting. The framework captures emission reduction activities, recycling investments, goodwill dynamics, and stochastic shocks, and compares decentralized and centralized decision-making under two allocation criteria: grandfathering and benchmarking. Equilibrium strategies are derived and supported by numerical simulations to trace the dynamic trajectories of abatement, recycling, goodwill, and profit, while also assessing the roles of carbon pricing, recycling revenues, and quota policies. The analysis highlights three major findings. First, the benchmarking criterion creates stronger incentives for emission reduction and recycling, with centralized governance amplifying this advantage. Second, random disturbances leave the long-term equilibrium unchanged but may cause short-term shifts in goodwill and profit rankings. Third, centralized coordination raises overall profitability yet proves less robust, whereas decentralized structures favor stability at the expense of efficiency. Together, these results contribute to the literature on closed-loop supply chains and offer practical implications for aligning economic performance, system stability, and environmental objectives.</t>
  </si>
  <si>
    <t>2045-2322</t>
  </si>
  <si>
    <t>DEC 11 2025</t>
  </si>
  <si>
    <t>16</t>
  </si>
  <si>
    <t>766</t>
  </si>
  <si>
    <t>10.1038/s41598-025-30391-w</t>
  </si>
  <si>
    <t>41381701</t>
  </si>
  <si>
    <t>WOS:001656484100001</t>
  </si>
  <si>
    <t>Jaimes, R</t>
  </si>
  <si>
    <t>Jaimes, Richard</t>
  </si>
  <si>
    <t>The dynamic effects of environmental and fiscal policy shocks</t>
  </si>
  <si>
    <t>MACROECONOMIC DYNAMICS</t>
  </si>
  <si>
    <t>This paper investigates the dynamic effects of environmental and fiscal policy shocks in a New Keynesian dynamic stochastic general equilibrium model featuring price and wage rigidity and a polluting intermediate goods sector. I compare carbon taxes and cap-and-trade systems under abatement cost and government spending shocks, considering three revenue-recycling schemes: lump-sum transfers, labor tax cuts, and consumption tax cuts. Abatement cost shocks reduce output and consumption, with stronger effects under cap-and-trade due to rising permit prices. These effects are mitigated when revenues are used to reduce distortionary taxes, especially consumption taxes. Government spending shocks stimulate output and labor, particularly under lump-sum financing, but their expansionary effects are dampened under cap-and-trade. Nominal rigidities amplify these dynamics. The findings support the double dividend hypothesis and highlight the importance of fiscal design and policy coordination. Carbon taxes, combined with targeted tax reductions, offer superior macroeconomic stabilization in the face of environmental and fiscal shocks.</t>
  </si>
  <si>
    <t>Jaimes, Richard/ABD-9086-2020</t>
  </si>
  <si>
    <t>Jaimes, Richard/0000-0003-3279-7555</t>
  </si>
  <si>
    <t>1365-1005</t>
  </si>
  <si>
    <t>1469-8056</t>
  </si>
  <si>
    <t>AUG 19 2025</t>
  </si>
  <si>
    <t>29</t>
  </si>
  <si>
    <t>e132</t>
  </si>
  <si>
    <t>10.1017/S1365100525100424</t>
  </si>
  <si>
    <t>WOS:001551850400001</t>
  </si>
  <si>
    <t>Fang, HJ; Yu, LY; Zhang, ZY</t>
  </si>
  <si>
    <t>Fang, Haijie; Yu, Liying; Zhang, Ziyuan</t>
  </si>
  <si>
    <t>Promoting consumer returns in closed-loop supply chains under cap-and-trade regulation: A cooperative recycling advertising perspective</t>
  </si>
  <si>
    <t>JOURNAL OF CLEANER PRODUCTION</t>
  </si>
  <si>
    <t>Under carbon cap-and-trade regulation, to control carbon emissions and improve the recycling efficiency of waste electrical and electronic equipment (WEEE) from the traditional offline recycling channel, more enterprises attempt to simultaneously combine the online recycling platform with the digital transformation of the supply chain. Based on a closed-loop supply chain (CLSC) with dual recycling channels and considering recycling advertising invested both in offline and online recycling channels, this paper attempts to explore the optimal recycling advertising mode which can both achieve economic and environmental performance under cap-andtrade regulation. Therefore, game models including a manufacturer and above either recycler are established, which are respectively correspond to four recycling advertising modes: manufacturer cooperates with neither recycler (MO mode), manufacturer only cooperates with the offline retailer (MR mode), manufacturer only cooperates with the online recycling platform (MT mode), and manufacturer cooperates with either recycler (MRT mode). Consequently, this paper solves the optimal decisions of the tripartite and focuses on the analysis of the impact of cooperative (competitive) recycling advertising under cap-and-trade regulation. By comparing the profits and total carbon emissions of the whole CLSC under four recycling advertising modes, the results indicate that: cooperative advertising between the manufacturer and two recyclers can achieve economic and environmental performance for the whole CLSC if the free-riding phenomenon occurs in recycling advertising. Otherwise, influenced by competitive recycling advertising, the above mode turns to the suboptimal one for the profits of two recyclers and the total carbon emissions of the CLSC. Moreover, driven by economic benefits, cooperative advertising will eventually become a consensus, but the total carbon emissions may not always be the least.</t>
  </si>
  <si>
    <t>Zhang, Ziyuan/JQV-5253-2023</t>
  </si>
  <si>
    <t>Zhang, Ziyuan/0009-0000-1053-4127</t>
  </si>
  <si>
    <t>0959-6526</t>
  </si>
  <si>
    <t>1879-1786</t>
  </si>
  <si>
    <t>JAN 10 2024</t>
  </si>
  <si>
    <t>436</t>
  </si>
  <si>
    <t>140584</t>
  </si>
  <si>
    <t>10.1016/j.jclepro.2024.140584</t>
  </si>
  <si>
    <t>JAN 2024</t>
  </si>
  <si>
    <t>WOS:001154742300001</t>
  </si>
  <si>
    <t>Pal, B</t>
  </si>
  <si>
    <t>Pal, Brojeswar</t>
  </si>
  <si>
    <t>Optimizing pricing, greening, recycling, and emission reduction in a policy-driven sustainable closed-loop supply chain</t>
  </si>
  <si>
    <t>Companies and legislators are adopting sustainable supply chain techniques due to growing global concerns about environmental damage, changing climates, and diminishing resources. This article designs a sustainable closed-loop supply chain that stipulates the production of environmentally friendly goods while addressing initiatives to reduce carbon emissions and recycle discarded goods. It incorporates the role of high-quality raw materials and investment in cleaner technologies to improve sustainability. This study addresses carbon reduction by using more environmentally friendly products and employing carbon taxes and cap-and-trade schemes to incentivize sustainable business practices. Additionally, the model supports recycling through incentive-based pricing strategies. We analyze the model in four scenarios, all focused on reducing carbon emissions and producing sustainable goods through greening strategies and emission-reducing policies. Our findings indicate that increased carbon taxes and trading prices can negatively impact profitability. However, cap-and-trade policies become more advantageous than carbon taxes when trading prices remain below a defined threshold. Profitability under cap-and-trade further improves when emission quotas and the efficiency of emission reduction efforts align optimally, while lower values tend to favor carbon taxation. The raw materials' quality is essential for sustainability and profitability since the level of green innovation, emissions, demand, and profits first decreases for a specific limit and then increases for all scenarios with higher costs. The unit collection cost and collection effort cost parameters significantly impact profitability and sustainability because higher values can result in lower emissions and green levels, which affect demand and profits.</t>
  </si>
  <si>
    <t>Pal, Brojeswar/V-8456-2019</t>
  </si>
  <si>
    <t>AUG 10 2025</t>
  </si>
  <si>
    <t>519</t>
  </si>
  <si>
    <t>145824</t>
  </si>
  <si>
    <t>10.1016/j.jclepro.2025.145824</t>
  </si>
  <si>
    <t>JUN 2025</t>
  </si>
  <si>
    <t>WOS:001513384700004</t>
  </si>
  <si>
    <t>Arora, R; Singh, AP; Sharma, R; Chauhan, A</t>
  </si>
  <si>
    <t>Arora, Ritu; Singh, Anubhav Pratap; Sharma, Renu; Chauhan, Anand</t>
  </si>
  <si>
    <t>A remanufacturing inventory model to control the carbon emission using cap-and-trade regulation with the hexagonal fuzzy number</t>
  </si>
  <si>
    <t>BENCHMARKING-AN INTERNATIONAL JOURNAL</t>
  </si>
  <si>
    <t>Purpose The awareness for protecting the environment has resulted in remanufacturing and recycling policies in manufacturing industries. Carbon emission is one of the most important elements affecting the environment. Carbon emission due to production and transportation creates complicated situations for the manufacturing firms by affecting the manufacturer's carbon quota. The ecological consequences posed in a reverse logistic model are the subject of this study. Design/methodology/approach The present study explores the fuzzy model of economic production for both remanufacturing and recycling with uncertain cost parameters under the cap-and-trade rule to control the carbon emission due to different modes of transportation. Due to imprecise cost parameters, the hexagonal fuzzy numbers are set to fuzzify the overall cost, which leads to correct decisions in a more confident way. The result is defuzzified by using graded mean integration. Findings This study offers an explicit condition to control the carbon emission of the manufacturer and reduce the optimum cost. The findings indicate that the collection of used goods that can be remanufactured must be increased. The model is validated numerically. Sensitivity analysis explores the various aspects of different parameters on net cost to accomplish the fuzzy production model. Originality/value Under fuzzy inference, the research offers a relevant contribution in the field of recycling with controlling carbon emission by using the cap-and-trade policy. This study provides a trading strategy for a manufacturer's decision to avoid losses.</t>
  </si>
  <si>
    <t>Singh, Anubhav Pratap/GXF-4683-2022; Chauhan, Anand/F-3675-2011; Arora, Ritu/ABC-8574-2020; Sharma, Renu/HDL-8617-2022</t>
  </si>
  <si>
    <t>Singh, Anubhav Pratap/0000-0001-9006-9578; Chauhan, Anand/0000-0002-7166-8177</t>
  </si>
  <si>
    <t>1463-5771</t>
  </si>
  <si>
    <t>1758-4094</t>
  </si>
  <si>
    <t>AUG 11 2022</t>
  </si>
  <si>
    <t>7</t>
  </si>
  <si>
    <t>2202</t>
  </si>
  <si>
    <t>2230</t>
  </si>
  <si>
    <t>10.1108/BIJ-05-2021-0254</t>
  </si>
  <si>
    <t>OCT 2021</t>
  </si>
  <si>
    <t>WOS:000711077700001</t>
  </si>
  <si>
    <t>Zhang, YH; Zhang, Q; Hu, R; Yang, M</t>
  </si>
  <si>
    <t>Zhang, Yuhao; Zhang, Qian; Hu, Ren; Yang, Man</t>
  </si>
  <si>
    <t>Optimal Strategy and Performance for a Closed-Loop Supply Chain with Different Channel Leadership and Cap-and-Trade Regulation</t>
  </si>
  <si>
    <t>SUSTAINABILITY</t>
  </si>
  <si>
    <t>Cap-and-trade is widely recognized as an effective mechanism for curbing carbon emissions, and it significantly influences the operational decisions within supply chains. This study investigates a three-echelon closed-loop supply chain (CLSC) consisting of one original equipment manufacturer, one traditional retailer, and one independent third-party collector. The manufacturer invests in cleaner technologies to produce green products and remanufactures new products from used items recycled by the third-party collector. Considering different channel power structures, three Stackelberg game models are developed, and their optimal solutions are derived using the backward induction. Additionally, the combined effects of remanufacturing-related and carbon-related parameters on economic and environmental benefits as well as social welfare are investigated under different settings. Moreover, the derived results are validated via numerical simulation. The findings indicate that: (1) Each channel member is incentivized to act as the leader role within the CLSC to maximize profits. (2) A loose cap-and-trade regulation is conducive to enhancing the emission abatement rate, collection rate, and overall performance for the CLSC. (3) The retailer-led model is the best option for capturing more economic benefits and social welfare, while the third party-led model can always achieve the best environmental performance regardless of carbon trading price. These research findings can provide valuable insights for policymakers and decision makers engaged in CLSC.</t>
  </si>
  <si>
    <t>Zhang, Yuhao/0000-0003-4468-8057</t>
  </si>
  <si>
    <t>2071-1050</t>
  </si>
  <si>
    <t>FEB 2025</t>
  </si>
  <si>
    <t>17</t>
  </si>
  <si>
    <t>3</t>
  </si>
  <si>
    <t>1042</t>
  </si>
  <si>
    <t>10.3390/su17031042</t>
  </si>
  <si>
    <t>WOS:001419383700001</t>
  </si>
  <si>
    <t>Wu, XY; Miao, WQ; Zhang, XX; Zuo, WJ; Shen, BL</t>
  </si>
  <si>
    <t>Wu, Xiaoyuan; Miao, Wenqing; Zhang, Xingxian; Zuo, Wenjin; Shen, Bingliang</t>
  </si>
  <si>
    <t>Recycling and remanufacturing or technology upgrading? emission reduction decisions of supply chain under carbon cap-and-trade mechanism</t>
  </si>
  <si>
    <t>PLOS ONE</t>
  </si>
  <si>
    <t>Cap-and-trade mechanism can efficiently reduce carbon emissions, which makes it widely used around the world. This paper builds a Stackelberg game model for a manufacturer-led secondary supply chain and analyzes the best pricing, carbon reduction strategies, and the impacts of each variable on equilibrium results when using two emission reduction methods, recycling &amp; remanufacturing, and technology upgrading under the cap-and-trade mechanism. The relationship between the variables was verified through case studies, and the economic benefits and emission reduction effects of the two emission reduction methods were compared. It is found that manufacturers' profit in the recycling and remanufacturing mode is higher compared to that of the technology upgrading mode when consumer price sensitivity coefficient is low, but its emission reduction effect is less effective; raising the price of carbon trading can effectively increase the carbon reduction per unit low-carbon products and reduce total carbon emissions under the two modes. The government should boost the price of carbon to promote enterprises to reduce emissions, and it can also guide manufacturers to choose the technology upgrading emission reduction mode through other ways to minimize the total carbon emissions.</t>
  </si>
  <si>
    <t>zuo, wenjin/JGE-3350-2023</t>
  </si>
  <si>
    <t>Miao, Wenqing/0000-0003-3511-7316; zuo, wenjin/0000-0003-1411-4730</t>
  </si>
  <si>
    <t>1932-6203</t>
  </si>
  <si>
    <t>MAR 31 2025</t>
  </si>
  <si>
    <t>20</t>
  </si>
  <si>
    <t>e0318952</t>
  </si>
  <si>
    <t>10.1371/journal.pone.0318952</t>
  </si>
  <si>
    <t>40163541</t>
  </si>
  <si>
    <t>WOS:001456751700016</t>
  </si>
  <si>
    <t>Wang, YT; Ji, XY; Lin, B</t>
  </si>
  <si>
    <t>Wang, Yingtong; Ji, Xiaoyu; Lin, Bei</t>
  </si>
  <si>
    <t>The choice of recycling and remanufacturing strategy for power battery supply chain under carbon border adjustment mechanism and cap-and-trade</t>
  </si>
  <si>
    <t>TRANSPORTATION RESEARCH PART E-LOGISTICS AND TRANSPORTATION REVIEW</t>
  </si>
  <si>
    <t>China's export supply chain is subject to a dual carbon policy of foreign carbon border adjustment mechanism and domestic cap-and-trade. How to determine the optimal remanufacturing strategy to maximize utility, meet carbon emission requirements, increase remanufacturing proportion under the dual carbon policy are the real issues the power battery supply chain faces. This study examines the uncertain carbon trading price, establish Stackelberg game models with and without blockchain under different recycling modes. The selection of recycling and remanufacturing strategies under the dual carbon policy is analyzed in three dimensions: resource recycling rate, economic utility, carbon emission. Moreover, the study explores how the dual carbon policy and blockchain influence remanufacturing decisions, manufacturer utility, carbon emissions. Finally, extended studies are conducted on supply chain coordination, extreme carbon price fluctuation and product quality differences. The findings suggest that enterprises ought to select different remanufacturing strategy from multiple dimensions of resource recycling rate, economic utility, carbon emission, in accordance with the carbon emission range of products and the carbon reduction effect of blockchain technology under the dual carbon policy. This research provides strategic support to export enterprises in tackling the new green trade barriers.</t>
  </si>
  <si>
    <t>1366-5545</t>
  </si>
  <si>
    <t>1878-5794</t>
  </si>
  <si>
    <t>NOV 2025</t>
  </si>
  <si>
    <t>203</t>
  </si>
  <si>
    <t>104384</t>
  </si>
  <si>
    <t>10.1016/j.tre.2025.104384</t>
  </si>
  <si>
    <t>WOS:001560936800001</t>
  </si>
  <si>
    <t>Harefah, DN; Jauhari, WA; Rosyidi, CN; Utama, DM</t>
  </si>
  <si>
    <t>Harefah, Dimas Nurbani; Jauhari, Wakhid Ahmad; Rosyidi, Cucuk Nur; Utama, Dana Marsetiya</t>
  </si>
  <si>
    <t>A multi-echelon closed-loop supply chain model with multi-recovery systems and carbon regulation</t>
  </si>
  <si>
    <t>SUPPLY CHAIN ANALYTICS</t>
  </si>
  <si>
    <t>This study develops a multi-echelon closed-loop supply chain (CLSC) optimization model for durable products by considering refurbishment, recycling processes, and carbon regulation. A mixed integer linear programming (MILP) is developed for CLSC network design involving suppliers, manufacturers, refurbishment centers, recycling centers, disposal centers, assembly centers, collection centers, and retailers. A carbon cap-and-trade policy is adopted to lessen the emissions emitted from some activities in CLSC. The objectives of the study are to determine the optimal allocations of echelons and to investigate the influences of collection rate, refurbishment rate, recycling rate and carbon policy on CLSC. A numerical example is presented to illustrate the application of the proposed model, and a sensitivity analysis is provided to investigate the effect of key parameters on the model's behavior and system performance. The results show that the changes in collection, refurbishment, and recycling rates significantly influence the optimal allocation decisions. The results also show that by adopting a carbon cap-and-trade policy, CLSC can benefit both economically and environmentally. However, the level of benefits obtained will depend significantly on the size of the carbon cap and the selling or buying price of carbon in the market.</t>
  </si>
  <si>
    <t>Rosyidi, Cucuk Nur/ABD-3290-2021; Jauhari, Wakhid/K-4164-2019; Utama, Dana/AAE-1952-2021</t>
  </si>
  <si>
    <t>Rosyidi, Cucuk Nur/0000-0001-9574-2848; Utama, Dana/0000-0002-3214-9753</t>
  </si>
  <si>
    <t>2949-8635</t>
  </si>
  <si>
    <t>100109</t>
  </si>
  <si>
    <t>10.1016/j.sca.2025.100109</t>
  </si>
  <si>
    <t>WOS:001435448200001</t>
  </si>
  <si>
    <t>Chen, YX; Zhu, QH</t>
  </si>
  <si>
    <t>Chen, Yuxiao; Zhu, Qinghua</t>
  </si>
  <si>
    <t>A three-stage game model of plastic circular supply chain management in the context of cap-and-trade and plastic packaging regulations</t>
  </si>
  <si>
    <t>Circular supply chain management (CSCM) has become an emerging solution against plastic pollution and carbon emission associated with plastic production. This paper develops a three-stage game model to investigate decisions of three critical players in plastic CSCM, including a petrochemical company that produces virgin plastic and faces a cap-and-trade regulation, a multinational company (MNC) with a Scope 3's emission reduction commitment that sells products in two markets with or without a plastic packaging regulation, and a plastic recycling company that collects and produces recycled plastic. Specifically, the petrochemical company first determines the optimal carbon reduction effort level. The plastic recycling company then determines the optimal price for recycled plastic. After observing the price of recycled plastic and the level of petrochemical company's carbon reduction effort, the MNC finally determines the optimal proportion of recycled plastic to be used in product packaging. Our results show that the cap-and-trade regulation could encourage the petrochemical company to make greater effort to reduce carbon emission, but possibly lead to a reduction in the use of recycled plastic in packaging by the MNC. Higher plastic fines could incentivize the MNC to use more recycled plastic in the packaging, which is a disincentive for the petrochemical company to make carbon reduction effort. The MNC's commitment to Scope 3's carbon reduction contributes to an increased use of recycled plastics, but surprisingly, this results in more carbon emission from the petrochemical company. Interestingly, the total carbon emission of the plastics circular supply chain increases and then decreases as the Scope 3's commitment by the MNC increases.</t>
  </si>
  <si>
    <t>ZHU, Qinghua/M-3408-2016</t>
  </si>
  <si>
    <t>ZHU, Qinghua/0000-0003-2648-0260; Chen, Yuxiao/0000-0003-0592-3384</t>
  </si>
  <si>
    <t>DEC 2025</t>
  </si>
  <si>
    <t>355</t>
  </si>
  <si>
    <t>321</t>
  </si>
  <si>
    <t>354</t>
  </si>
  <si>
    <t>10.1007/s10479-024-06013-5</t>
  </si>
  <si>
    <t>MAY 2024</t>
  </si>
  <si>
    <t>WOS:001226679900002</t>
  </si>
  <si>
    <t>Li, ZT; Zhang, CH; Lyu, RX</t>
  </si>
  <si>
    <t>Li, Zhi-Tang; Zhang, Cui-Hua; Lyu, Ru-Xia</t>
  </si>
  <si>
    <t>THE OPTIMAL RECYCLE MECHANISM FOR USED APPAREL CONSIDERING SOCIAL DONATION UNDER GOVERNMENT CARBON REGULATIONS</t>
  </si>
  <si>
    <t>Facing used apparel collection and social donation under government regulations (i.e., carbon tax policy or cap-and-trade policy), this study investigates whether the responsibility should lie with the manufacturer or a third-party platform. Our study indicates that the traditional closed-loop supply chain fails to achieve Social Donation. The findings of this study reveal that both the unit value of recycled products by the manufacturer and the unit value of charitable donations play significant roles in promoting the recycling of used apparel. And the study shows that when the carbon tax rate increases, it diminishes the benefits of supply chain members. On the other hand, when the carbon trading price increases, it reduces the benefits of third-party platforms but enhances the benefits of manufacturers within the carbon quotas while decreasing the benefits beyond the carbon quotas. In addition, this study conducts an analytical examination to determine the optimal used apparel recycling strategy under government regulations mechanism from the perspectives of economic benefit, environmental benefit, social donation contribution and customer surplus. Furthermore, the study reveals that the company's preference for the carbon tax policy only when the carbon quota is small and identifies that under cap-and-trade regulations, the recycling strategy adopted by the manufacturer yields the highest benefits for the government. Significantly, the study highlights that the most effective approach to reducing carbon emissions and promoting social donation is through the implementation of a circular economy, this entails elevating recycling levels, placing emphasis on remanufacturing, and reducing the production of new products.</t>
  </si>
  <si>
    <t>MAR 2024</t>
  </si>
  <si>
    <t>1242</t>
  </si>
  <si>
    <t>1270</t>
  </si>
  <si>
    <t>10.3934/jimo.2023123</t>
  </si>
  <si>
    <t>SEP 2023</t>
  </si>
  <si>
    <t>WOS:001074169100001</t>
  </si>
  <si>
    <t>Wu, DD; Li, K; Cheng, Y</t>
  </si>
  <si>
    <t>Wu, Dandan; Li, Kun; Cheng, Yang</t>
  </si>
  <si>
    <t>Green Investment and Emission Reduction in Supply Chains Under Dual-Carbon Regulation: A Dynamic Game Perspective on Coordination Mechanisms and Policy Insights</t>
  </si>
  <si>
    <t>This study examines green investment and emission reduction strategies in a two-tier supply chain under dual-carbon regulation that combines a carbon tax with a cap-and-trade mechanism. A multi-stage dynamic game model is developed, in which the manufacturer reduces emissions through recycling efforts and investments in green technology. We compare optimal decisions under centralized, decentralized, and coordinated structures, and propose an enhanced bilateral cost-sharing contract to improve collaboration. Numerical experiments validate the theoretical results, and sensitivity analyses provide further insights. The results show that while both carbon tax and permit trading increase emission reduction, the carbon tax may lower manufacturer profit, underscoring the need for coordinated policy design. Benchmarking proves more effective than grandfathering in stimulating green investment, particularly under high carbon prices and strong consumer environmental preferences. The proposed contract alleviates free riding, enhances overall supply chain profitability, and improves emission reduction performance. Policy implications highlight the importance of prioritizing benchmark allocation, promoting consumer environmental awareness, and encouraging firms to integrate carbon asset management with technological innovation. This research provides both theoretical and practical insights for designing effective carbon policies and collaborative mechanisms in green supply chains.</t>
  </si>
  <si>
    <t>Wu, Dandan/KLE-1231-2024</t>
  </si>
  <si>
    <t>Cheng, Yang/0000-0002-3082-4890; Wu, Dandan/0009-0008-5024-5141</t>
  </si>
  <si>
    <t>OCT 9 2025</t>
  </si>
  <si>
    <t>8951</t>
  </si>
  <si>
    <t>10.3390/su17198951</t>
  </si>
  <si>
    <t>WOS:001593868800001</t>
  </si>
  <si>
    <t>Yan, GZ; Song, QY; Ni, YD; Yang, XF</t>
  </si>
  <si>
    <t>Yan, Guangzhou; Song, Qinyu; Ni, Yaodong; Yang, Xiangfeng</t>
  </si>
  <si>
    <t>PRICING, CARBON EMISSION REDUCTION AND RECYCLING DECISIONS IN A CLOSED-LOOP SUPPLY CHAIN UNDER UNCERTAIN ENVIRONMENT</t>
  </si>
  <si>
    <t>This paper studies the pricing and recycling decision problems in a closed-loop supply chain (CLSC) containing a manufacturer, a downstream retailer, and a third-party recycling center. The manufacturer is subjected to the cap-and-trade regulation and determines the wholesale price of products and carbon emission reduction rate. The retailer determines its resale price to meet customer demands. The third-party recycling center determines the collection rate of recycling and remanufacturing used products. The new product demands, total carbon emissions, and recovery of these products are characterized as uncertain variables due to lack of historical data or insufficient data collected for research. By constructing three decentralized game models, we explore the equilibrium solutions under the corresponding decision-making situation and the corresponding analytical solutions. Finally, numerical experiments are performed to show the total profit of supply chain members for each structure and some special insights are drawn.</t>
  </si>
  <si>
    <t>Yang, Xiangfeng/AES-0106-2022</t>
  </si>
  <si>
    <t>Yan, Guangzhou/0000-0001-5271-6105</t>
  </si>
  <si>
    <t>JAN 2023</t>
  </si>
  <si>
    <t>224</t>
  </si>
  <si>
    <t>245</t>
  </si>
  <si>
    <t>10.3934/jimo.2021181</t>
  </si>
  <si>
    <t>WOS:000710117000001</t>
  </si>
  <si>
    <t>Parry, IWH; Williams, RC</t>
  </si>
  <si>
    <t>Parry, Ian W. H.; Williams, Roberton C., III</t>
  </si>
  <si>
    <t>What are the Costs of Meeting Distributional Objectives for Climate Policy?</t>
  </si>
  <si>
    <t>B E JOURNAL OF ECONOMIC ANALYSIS &amp; POLICY</t>
  </si>
  <si>
    <t>This paper develops an analytical model to quantify the costs and distributional effects of various fiscal options for allocating the large rents created under proposed cap-and-trade programs to reduce domestic, energy-related CO 2 emissions. The trade-off between cost effectiveness and distribution is striking. The welfare costs of different policies, accounting for linkages with the broader fiscal system, range from negative $ 6 billion/year to a positive $ 53 billion/year in 2020 (or from -$ 12 to almost $ 100 per ton of CO 2 reductions). The least costly policy involves auctioning all allowances with revenues used to cut income taxes, while the most costly policies involve recycling revenues in lump-sum dividends or grandfathering emissions allowances. The least costly policy is regressive, however, while the dividend policy is progressive. Grandfathering permits is both costly and regressive. A distribution-neutral policy entails costs of $ 18 to $ 42 per ton.</t>
  </si>
  <si>
    <t>Willia, Roberton/B-6706-2008</t>
  </si>
  <si>
    <t>Parry, Ian/0009-0004-0418-2777; Willia, Roberton/0000-0001-8282-0974</t>
  </si>
  <si>
    <t>1935-1682</t>
  </si>
  <si>
    <t>2010</t>
  </si>
  <si>
    <t>9</t>
  </si>
  <si>
    <t>WOS:000285831900002</t>
  </si>
  <si>
    <t>Zhou, FL; Li, YL; Pratap, S; Zhang, CC; Lim, MK</t>
  </si>
  <si>
    <t>Zhou, Fuli; Li, Yueli; Pratap, Saurabh; Zhang, Chenchen; Lim, Ming K.</t>
  </si>
  <si>
    <t>Exploring pricing strategy and remanufacturing mode in trade-in scheme under carbon cap-and-trade regulation</t>
  </si>
  <si>
    <t>Remanufacturing, owing to its advantages in resource recycling and carbon emission reduction, has evolved into a critical strategy for accelerating the achievement of net-zero emission targets. With market opportunities driven by trade-in programs that encourage consumer participation in recycling and boost the intent to buy remanufactured products, it is imperative to determine which remanufacturing models can effectively balance emission reduction costs and economic benefits under carbon cap-and-trade regulation (CATR). To tackle this issue, considering a closed-loop supply chain (CLSC) under trade-in scenarios within CATR framework, this study tries to explore the pricing strategies for three remanufacturing modes (autonomous, authorization, and outsourcing remanufacturing mode) by formulating three Stackelberg game models, facilitating to discover the best selection strategy based on the comparison of optimal decisions and profits under these three modes. Research findings show that under autonomous and authorization remanufacturing mode, excessively high collection quality may lead to a decline in remanufactured product sales. However, within the outsourcing remanufacturing mode, improvements in collection quality can continuously increase the sales volume of remanufactured products. Notably, regardless of fluctuations in collection quality, carbon trading prices, and consumer acceptance of remanufactured products (CARP), the autonomous and outsourcing remanufacturing modes have consistently demonstrated superior performance compared to authorization remanufacturing mode for original equipment manufacturers (OEMs) and retailers. Furthermore, an increase in carbon trading price encourages OEMs to transition from outsourcing remanufacturing mode to autonomous remanufacturing mode.</t>
  </si>
  <si>
    <t>Pratap, Saurabh/A-6064-2013; ZHOU, FULI/H-6662-2019</t>
  </si>
  <si>
    <t>MAR 5 2026</t>
  </si>
  <si>
    <t>548</t>
  </si>
  <si>
    <t>147775</t>
  </si>
  <si>
    <t>10.1016/j.jclepro.2026.147775</t>
  </si>
  <si>
    <t>FEB 2026</t>
  </si>
  <si>
    <t>WOS:001705895400001</t>
  </si>
  <si>
    <t>Lalremruati, L; Khanna, A</t>
  </si>
  <si>
    <t>Lalremruati, Lalremruati; Khanna, Aditi</t>
  </si>
  <si>
    <t>A Closed-Loop Supply Chain Model with Dual Recycling and Multi-Channel Retailing</t>
  </si>
  <si>
    <t>In an era of growing environmental awareness and multi-channel retailing, developing sustainable and responsive supply chain strategies is critical. This study proposes a Closed-loop Supply Chain (CLSC) production-inventory model in which raw materials, procured from suppliers, are processed through a flexible production system that adapts to shifting demand. The final products are distributed to consumers through both online and offline retail channels, capturing a broader, price-sensitive market where customers may switch between channels based on relative price differences. Recognizing the increasing importance of circular economy practices, the model incorporates a dual recycling channel, enabling the direct collection of used products from customers. These returns are either recycled or remanufactured, reducing raw material dependency and extending product life cycles. Throughout the CLSC, spanning production, holding, transportation, recycling, and remanufacturing, carbon emissions are generated, posing environmental challenges. To address this issue, the model compares two key carbon regulations: the carbon tax and the carbon cap-and-trade. While the carbon tax imposes a direct cost on every unit of emissions, the cap-and-trade mechanism provides greater strategic flexibility and results in comparatively higher profits for the firm. To better capture the bi-objective trade-off between economic gains and environmental impact, the model is solved using Non-Dominated Sorting Genetic Algorithm II (NSGA-II) to show how operations adjust to emissions. The proposed model is benchmarked against three simplified systems: without recycling and remanufacturing, without the online channel, and without offline retailing, and outperforms them by 8.80%, 42.98%, and 64.13%, respectively. The comparative models exhibit higher carbon emissions by 7.40%, 1.88%, and 0.48% highlighting their inferior environmental outcomes. Sensitivity analysis further reveals the interaction between economic and environmental parameters, offering practical insights into optimizing pricing, production flexibility, and sustainability initiatives in complex multi-channel retail environments.</t>
  </si>
  <si>
    <t>Khanna, Aditi/AAJ-7597-2020</t>
  </si>
  <si>
    <t>10.1007/s41660-026-00697-x</t>
  </si>
  <si>
    <t>WOS:001703462300001</t>
  </si>
  <si>
    <t>Sun, XF; Wang, YY; Li, YY; Zhu, WJ; Yan, DH; Li, JH</t>
  </si>
  <si>
    <t>Sun, Xuefang; Wang, Yuyang; Li, Yuanyuan; Zhu, Wenjing; Yan, Dehuan; Li, Jiahui</t>
  </si>
  <si>
    <t>Optimal pricing and carbon emission reduction decisions for a prefabricated building closed-loop supply chain under a carbon cap-and-trade regulation and government subsidies</t>
  </si>
  <si>
    <t>This paper explores a two-level prefabricated building closed-loop supply chain (CLSC) comprising a retailer and a prefabricated building manufacturer (PBM) under carbon cap-and-trade legislation and the government subsidies of carbon emission reduction (CER). In this CLSC, the PBM and the retailer recycle used products through their independent recycling channels. The optimum pricing and CER strategies within both decentralized and centralized systems, respectively, are analyzed. The Stackelberg game is used in the decentralized system to determine the optimum PBM's CER level and the retailer's pricing. By analysis, it concludes that increasing the carbon trading price can stimulate prefabricated construction corporations to improve their CER level, and that the government subsidy rate has a great effect on the profits of the PBM. Numerical examples with sensitivity analysis are used to further evaluate the roles of important factors in the optimum CER and pricing solutions of the prefabricated building CLSC in two dissimilar systems.</t>
  </si>
  <si>
    <t>Zhu, Wenjing/HDL-9239-2022</t>
  </si>
  <si>
    <t>JUN 29 2023</t>
  </si>
  <si>
    <t>18</t>
  </si>
  <si>
    <t>6</t>
  </si>
  <si>
    <t>e0287684</t>
  </si>
  <si>
    <t>10.1371/journal.pone.0287684</t>
  </si>
  <si>
    <t>37384741</t>
  </si>
  <si>
    <t>WOS:001025429200069</t>
  </si>
  <si>
    <t>Zhang, C; Tian, YX; Han, MH</t>
  </si>
  <si>
    <t>Zhang, Chuan; Tian, Yu-Xin; Han, Meng -Hong</t>
  </si>
  <si>
    <t>Recycling mode selection and carbon emission reduction decisions for a multi-channel closed-loop supply chain of electric vehicle power battery under cap-and-trade policy</t>
  </si>
  <si>
    <t>In recent years, the rapid growth of electric vehicle (EV) ownership in China has led to the large-scale retirement of power batteries. Establishing an effective recycling system for spent power batteries is a critical task. Therefore, we investigate the recycling mode selection and the carbon abatement decision in a closed-loop supply chain (CLSC) of EV power batteries under the carbon cap-and-trade policy. We propose four mixed -channel recycling modes in which two or three parties from a retailer, a third-party recycler and an echelon utilization enterprise participate in the recycling business. In the reverse chain, the collected spent power bat-teries are classified, wherein the echelon-utilizable batteries are processed into echelon utilization products for sale by the echelon utilization enterprise, while both the non-echelon-utilizable batteries and the post-echelon -utilized batteries are transferred to the manufacturer for extracting raw materials to produce new power bat-teries. We obtain equilibrium results by solving Stackelberg game models. The results reveal that when the competition intensity among recycling channels is below a certain threshold and the recycling price sensitivity is above a certain threshold, the optimal mode is the simultaneous participation of the retailer, the third-party recycler, and the echelon utilization enterprise. Otherwise, the optimal mode is the echelon utilization enter-prise recycling with the retailer or third-party recycler. Higher recycling channel competition and lower recy-cling price sensitivity reduce the total recycling quantity. Higher carbon trading price, a lower investment cost coefficient for carbon abatement and increased consumers' low-carbon awareness will encourage the manu-facturer to implement carbon reduction activities, thus reducing total carbon emissions. In addition, the engagement of the echelon utilization enterprise in the recycling business has a positive effect on relieving the recycling pressure and improving the manufacturer's profit.</t>
  </si>
  <si>
    <t>Tian, Yu-Xin/PEV-5745-2025</t>
  </si>
  <si>
    <t>Tian, Yu-Xin/0000-0001-8982-3174</t>
  </si>
  <si>
    <t>NOV 15 2022</t>
  </si>
  <si>
    <t>375</t>
  </si>
  <si>
    <t>134060</t>
  </si>
  <si>
    <t>10.1016/j.jclepro.2022.134060</t>
  </si>
  <si>
    <t>SEP 2022</t>
  </si>
  <si>
    <t>WOS:000862763200004</t>
  </si>
  <si>
    <t>Shi, C; Zhang, GT; Zhang, X; Zhou, YX</t>
  </si>
  <si>
    <t>Shi, Cong; Zhang, Guitao; Zhang, Xiao; Zhou, Yunxu</t>
  </si>
  <si>
    <t>Multi-layer platform supply chain network equilibrium considering service level and quality control under the cap-and-trade regulation</t>
  </si>
  <si>
    <t>ENVIRONMENT DEVELOPMENT AND SUSTAINABILITY</t>
  </si>
  <si>
    <t>In the aftermath of COVID-19, meeting the new economic demand while achieving carbon emission reduction goals is a primary challenge facing the global supply chain. To tackle this challenge, we consider the government's dual-regulatory policies of cap-and-trade (CAT) regulation and product quality supervision and propose a multi-layer platform supply chain network (PSCN) to examine optimal service levels, products quality, and abatement decisions to be made by supply chain members. By leveraging this network, we aim to find effective solutions to tackle the obstacles posed by the new economic landscape and reduce carbon emissions. The suppliers and manufacturers are subject to the CAT regulation, while manufacturers also have the responsibility for the recycling and remanufacturing process. Moreover, the government and platform will conduct quality inspections to ensure the sustainability of PSCN and maintain product quality standards. To obtain the solutions, the altered projection algorithm is employed, and five numerical examples are studied to find that carbon reduction technology shows special value in promoting carbon reduction and stabilizing the development of enterprises and supply chains. An efficient remanufacturing capability allows economic and environmental objectives to be aligned. Additionally, under the platform economy, consumers' dual preferences and proper service level provide new momentum for development and carbon emission reduction of PSCN. Interestingly, leaders' insistence on producing high-quality products under low supervision efforts may ultimately reduce PSCN's profit. Some significant management insights for reducing carbon emissions and improving resource utilization efficiency in PSCN under the new development pattern are derived from the analysis.</t>
  </si>
  <si>
    <t>Zhang, Guitao/AAE-5793-2019</t>
  </si>
  <si>
    <t>1387-585X</t>
  </si>
  <si>
    <t>1573-2975</t>
  </si>
  <si>
    <t>JAN 2025</t>
  </si>
  <si>
    <t>27</t>
  </si>
  <si>
    <t>1421</t>
  </si>
  <si>
    <t>1466</t>
  </si>
  <si>
    <t>10.1007/s10668-023-03918-2</t>
  </si>
  <si>
    <t>OCT 2023</t>
  </si>
  <si>
    <t>WOS:001090276500002</t>
  </si>
  <si>
    <t>Lin, Y; Yu, ZW; Lin, HT; Wang, YM</t>
  </si>
  <si>
    <t>Lin, Yang; Yu, Zhong-Wei; Lin, Hui-Ting; Wang, Ying-Ming</t>
  </si>
  <si>
    <t>Supply chain cooperative strategies for electric vehicle battery recycling under joint environmental policies</t>
  </si>
  <si>
    <t>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t>
  </si>
  <si>
    <t>Yu, Zhongwei/0000-0001-9316-8248</t>
  </si>
  <si>
    <t>JAN 2026</t>
  </si>
  <si>
    <t>211</t>
  </si>
  <si>
    <t>111528</t>
  </si>
  <si>
    <t>10.1016/j.cie.2025.111528</t>
  </si>
  <si>
    <t>WOS:001597153800001</t>
  </si>
  <si>
    <t>Mohammadi, M</t>
  </si>
  <si>
    <t>Mohammadi, M.</t>
  </si>
  <si>
    <t>Resilient and Green Supply Chain Management in the Circular Economy</t>
  </si>
  <si>
    <t>JOURNAL OF ENVIRONMENTAL INFORMATICS</t>
  </si>
  <si>
    <t>. This study proposes a novel mathematical model for designing a resilient and eco-friendly supply chain network under uncertainty. The proposed model applies the life cycle assessment (LCA) methodology and the cap-and-trade mechanism to decrease carbon emissions. To address demand uncertainty, the chance-constrained programming (CCP) method is utilized. The proposed model is validated by solving thirty-three test problems and comparing the results with a non-resilient model without pandemic considerations. Results demonstrate that the total costs of the resilient model during the pandemic exceed those of the non-resilient model, emphasizing the necessity for decision-makers to balance the benefits of a resilient supply chain network with the associated costs. Furthermore, total emissions of the resilient model are lower, highlighting the environmental advantages of resilience. Comparing circular and linear models, the circular supply chains represent an 8.8% cost reduction and a 12.1% emission reduction that is attributed to the recycling of returned items.</t>
  </si>
  <si>
    <t>1726-2135</t>
  </si>
  <si>
    <t>1684-8799</t>
  </si>
  <si>
    <t>47</t>
  </si>
  <si>
    <t>62</t>
  </si>
  <si>
    <t>76</t>
  </si>
  <si>
    <t>10.3808/jei.202600553</t>
  </si>
  <si>
    <t>WOS:001720145600001</t>
  </si>
  <si>
    <t>Rose, A; Wei, D; Prager, F</t>
  </si>
  <si>
    <t>Rose, Adam; Wei, Dan; Prager, Fynnwin</t>
  </si>
  <si>
    <t>DISTRIBUTIONAL IMPACTS OF GREENHOUSE GAS EMISSIONS TRADING: ALTERNATIVE ALLOCATION AND RECYCLING STRATEGIES IN CALIFORNIA</t>
  </si>
  <si>
    <t>CONTEMPORARY ECONOMIC POLICY</t>
  </si>
  <si>
    <t>Cap and trade remains attractive to many state governments because it provides a much-needed source of additional revenue when greenhouse gas emission allowances are auctioned to the highest bidder. We analyze the income distribution impacts of the California Global Warming Solutions Act under alternative policy designs. These include the free allocation of emission allowances versus recycling of auction revenues through proportional income tax relief and a per capita dividend. The analysis is undertaken under conditions where significant economic gains, rather than losses, are projected for the policy, and in the context of the new electricity pricing regulatory environment in which passing along the opportunity costs of using free allowances may not be approved. We adapt and enhance the Regional Economic Models, Inc. Policy Insight Plus Model and apply it for the first time to estimate the income distribution impacts of cap and trade. The analysis illustrates the importance of considering macroeconomic impacts and identifies important efficiency-equity tradeoffs. The method and results are generalizable to the dozens of states and regions still formulating or revising climate action plans in the United States and to many regions and nations around the world. (JEL D31, R11, Q54)</t>
  </si>
  <si>
    <t>Wei, Dan/0000-0003-0738-2286; Rose, Adam/0000-0003-3347-7684</t>
  </si>
  <si>
    <t>1074-3529</t>
  </si>
  <si>
    <t>1465-7287</t>
  </si>
  <si>
    <t>OCT 2012</t>
  </si>
  <si>
    <t>30</t>
  </si>
  <si>
    <t>603</t>
  </si>
  <si>
    <t>617</t>
  </si>
  <si>
    <t>10.1111/j.1465-7287.2011.00296.x</t>
  </si>
  <si>
    <t>WOS:000309601900009</t>
  </si>
  <si>
    <t>Zhang, ZY; Chen, WD; Li, CX</t>
  </si>
  <si>
    <t>Zhang, Zhaoyan; Chen, Weida; Li, Chengxia</t>
  </si>
  <si>
    <t>Repurchase or pledge? Financing and production decisions of engineering machinery remanufacturing firms</t>
  </si>
  <si>
    <t>Under carbon cap and trade policy, engineering machinery firms have engaged in remanufacturing and invested in carbon emission reduction technologies. However, they often struggle with a lack of funding, but carbon quota financing offers a solution. Taking a capital-constrained engineering machinery remanufacturer as the research object, this paper first formulates four decision models, i.e. (no capital constraints, no financing), (capital constraints, no financing), (capital constraints, carbon quota repurchase financing) and (capital constraints, carbon quota pledge financing), then the equilibrium results are compared. Finally, the numerical simulations are performed to study the impact of carbon emission reduction and quality uncertainty of recycled products. The results show that if remanufacturers possess adequate carbon quotas, carbon quota pledge financing can always improve profits effectively, otherwise, the effectiveness of financing strategies depends on the difference between extra profits and financing costs. Both financing strategies can increase the output of new products and reduce that of remanufactured products. Increasing the quality threshold of recycled products is beneficial for remanufacturing, environmental protection and profits. Investing in carbon emission reduction benefits remanufacturing and the environment, however, it reduces remanufacturers' profits in the short term.</t>
  </si>
  <si>
    <t>Chen, Weida/AFR-6401-2022</t>
  </si>
  <si>
    <t>Chen, Weida/0000-0002-8552-4772; Li, Chengxia/0009-0000-9505-8376</t>
  </si>
  <si>
    <t>DEC 1 2023</t>
  </si>
  <si>
    <t>429</t>
  </si>
  <si>
    <t>139309</t>
  </si>
  <si>
    <t>10.1016/j.jclepro.2023.139309</t>
  </si>
  <si>
    <t>WOS:001111607000001</t>
  </si>
  <si>
    <t>Di Filippo, J; Karpman, J; DeShazo, JR</t>
  </si>
  <si>
    <t>Di Filippo, James; Karpman, Jason; DeShazo, J. R.</t>
  </si>
  <si>
    <t>The impacts of policies to reduce CO2 emissions within the concrete supply chain</t>
  </si>
  <si>
    <t>CEMENT &amp; CONCRETE COMPOSITES</t>
  </si>
  <si>
    <t>The production of concrete is a significant source of global carbon dioxide (CO2) emissions that contribute to climate change. Many technical solutions exist for reducing emissions along the concrete supply chain. However, wide scale adoption of these technologies is hindered by a market failure the cost of greenhouse gas emissions is not adequately reflected in cement and concrete transactions. Here, we compare three instruments meant to correct this critical market failure, including: 1) carbon-pricing policies, such as carbon taxes and cap-and-trade programs; 2) command and control policies; and 3) voluntary incentives. We evaluate each policy instrument for its capacity to reduce emissions cost effectively, guarantee emission reductions, spur technological innovation, and generate revenue. Our analysis shows that these criteria favor carbon pricing policies. However, cement and concrete markets are often concentrated and trade exposed. Therefore, regulators should design pricing policies that both combat leakage and do not limit production below socially optimal levels.</t>
  </si>
  <si>
    <t>0958-9465</t>
  </si>
  <si>
    <t>1873-393X</t>
  </si>
  <si>
    <t>AUG 2019</t>
  </si>
  <si>
    <t>2019</t>
  </si>
  <si>
    <t>101</t>
  </si>
  <si>
    <t>67</t>
  </si>
  <si>
    <t>82</t>
  </si>
  <si>
    <t>10.1016/j.cemconcomp.2018.08.003</t>
  </si>
  <si>
    <t>Science Citation Index Expanded (SCI-EXPANDED); Social Science Citation Index (SSCI); Conference Proceedings Citation Index - Science (CPCI-S)</t>
  </si>
  <si>
    <t>WOS:000468709000009</t>
  </si>
  <si>
    <t>Peng, ZY; Lu, WS; Webster, C</t>
  </si>
  <si>
    <t>Peng, Ziyu; Lu, Weisheng; Webster, Chris</t>
  </si>
  <si>
    <t>If invisible carbon waste can be traded, why not visible construction waste? Establishing the construction waste trading ?missing market?</t>
  </si>
  <si>
    <t>RESOURCES CONSERVATION AND RECYCLING</t>
  </si>
  <si>
    <t>Of all the solid waste produced by the world's rapidly urbanising regions, a significant proportion flows from construction activities. While construction waste permit trading could incentivise both reduction and recycling, there are no known examples of such trading. Meanwhile, trading carbon permits has been successfully mainstreamed. Drawing on Coase Theorem, our research specifies a cap-and-trade construction waste trading scheme. We investigate various emissions trading schemes to propose and elaborate a preparation-implementationevolution-review roadmap. In the first step, we decide a waste cap based on social optimum and a benchmarking method to allocate permits. Second, we establish a market that minimises transaction costs. Third, we set up a reward scheme to subsidise low-waste behaviours so that, in the fourth step, the cap can be decreased through regular reviews. Two major risks are identified, namely price volatility and fly-tipping, in response to which we propose a market stability reserve and deposit-refund system, respectively.</t>
  </si>
  <si>
    <t>Webster, Chris/F-2039-2013</t>
  </si>
  <si>
    <t>Peng, Ziyu/0000-0002-2541-7537; Webster, Chris/0000-0002-2171-7495</t>
  </si>
  <si>
    <t>0921-3449</t>
  </si>
  <si>
    <t>1879-0658</t>
  </si>
  <si>
    <t>DEC 2022</t>
  </si>
  <si>
    <t>187</t>
  </si>
  <si>
    <t>106607</t>
  </si>
  <si>
    <t>10.1016/j.resconrec.2022.106607</t>
  </si>
  <si>
    <t>AUG 2022</t>
  </si>
  <si>
    <t>WOS:000865354900003</t>
  </si>
  <si>
    <t>Cao, KY; Gong, YJ; Xu, YQ; Wang, J</t>
  </si>
  <si>
    <t>Cao, Kaiying; Gong, Yajie; Xu, Yuqiu; Wang, Jia</t>
  </si>
  <si>
    <t>Optimal trade-in delegation strategy considering third-party recycler intrusion and used products with different durability</t>
  </si>
  <si>
    <t>OPERATIONAL RESEARCH</t>
  </si>
  <si>
    <t>Considering that product replacement is very fast and consumers purchase products at different times, old consumers often have used products with different durability (different depreciation). Moreover, the third-party recycling industry is booming. To attract different old consumers, manufacturers always implement trade-in services to compete with third-party recyclers (3Ps). In practice, some manufacturers provide trade-in services themselves while others delegate retailers to provide trade-in services. To address the trade-in delegation decision-making problem of manufacturers, our paper constructs four theoretical models depending on whether the manufacturers delegate retailers and considers the 3Ps. We find that whether manufacturers delegate and whether retailers accept delegation mainly depend on the fixed costs of trade-in services, and the conditions for retailers to accept delegation are more stringent. Furthermore, 3Ps intrusion affects the optimal trade-in delegation strategy. In the extended case considering cap-and-trade policy, the optimal trade-in delegation strategy still holds and remains unchanged, and the trade-in delegation strategies don't affect the total carbon emissions.</t>
  </si>
  <si>
    <t>Cao, Kaiying/0000-0003-2240-8245</t>
  </si>
  <si>
    <t>1109-2858</t>
  </si>
  <si>
    <t>1866-1505</t>
  </si>
  <si>
    <t>DEC 4 2024</t>
  </si>
  <si>
    <t>25</t>
  </si>
  <si>
    <t>10.1007/s12351-024-00866-1</t>
  </si>
  <si>
    <t>WOS:001370185300001</t>
  </si>
  <si>
    <t>Zhou, FL; Zhang, CC; Tiwari, S; Huang, XJ; Pratap, S</t>
  </si>
  <si>
    <t>Zhou, Fuli; Zhang, Chenchen; Tiwari, Sunil; Huang, Xingjun; Pratap, Saurabh</t>
  </si>
  <si>
    <t>Decision and coordination of WEEE closed-loop supply chain with risk aversion under the cap-and-trade regulation</t>
  </si>
  <si>
    <t>INTERNATIONAL JOURNAL OF PRODUCTION ECONOMICS</t>
  </si>
  <si>
    <t>Driven by the soaring consumption of electrical and electronic equipment (EEE), the semiconductor industry is facing sustainable development challenges such as energy management and carbon emissions. The waste electrical and electronic equipment (WEEE) management practice could contribute to achieving sustainability in the semiconductor industry through the remanufacturing business. Considering the collection quality heterogeneity and its potential influences on the WEEE remanufacturing process, this paper tries to explore the decision-making strategy and coordination mechanism of the WEEE closed-loop supply chain (CLSC) under the cap-and-trade regulation (CATR). The Stackelberg game model is formulated to address this context consisting of a manufacturer with risk avoidance and a retailer with risk neutrality. Besides, we disclose the specific influence of WEEE collection quality on the strategic decision-making of CLSC members under decentralized and centralized modes. Additionally, the revenue and cost-sharing contract is designed to facilitate coordination within the CLSC, and numerical experiments are performed to help better understand the strategic decision-making and effectiveness of the designed contract mechanism. Results show that within a certain threshold of WEEE collection quality, both recycling rate and total profit increase as collection quality improves, while unit wholesale and retail prices of EEE decrease. Conversely, as the risk aversion of the manufacturer increases, the return rate of WEEE decreases, while the wholesale price and retail price per unit of EEE rise. Under the joint influence of the unit carbon emission quota trading price and risk aversion, the unit carbon emission quota trading price exacerbates the impact of manufacturer risk aversion on the return rate. The revenue and cost-sharing contract also contributes to achieving WEEE CLSC coordination under specific conditions.</t>
  </si>
  <si>
    <t>Fuli, ZHOU/H-6662-2019; Pratap, Saurabh/A-6064-2013; Tiwari, Sunil/F-2056-2015; HUANG, Xingjun/AAJ-8662-2021</t>
  </si>
  <si>
    <t>Fuli, ZHOU/0000-0002-4786-8451; Pratap, Saurabh/0000-0002-2579-7859; Tiwari, Sunil/0000-0002-0499-2794</t>
  </si>
  <si>
    <t>0925-5273</t>
  </si>
  <si>
    <t>1873-7579</t>
  </si>
  <si>
    <t>280</t>
  </si>
  <si>
    <t>109477</t>
  </si>
  <si>
    <t>10.1016/j.ijpe.2024.109477</t>
  </si>
  <si>
    <t>WOS:001392945800001</t>
  </si>
  <si>
    <t>Shi, CD; Chen, LL; Yu, WT; Zhang, ZY</t>
  </si>
  <si>
    <t>Shi, Chengdong; Chen, Lulu; Yu, Weitong; Zhang, Zhiyao</t>
  </si>
  <si>
    <t>Will the embedded service in supply chains play a role in lowering manufacturer's carbon emission and maintaining economic growth?</t>
  </si>
  <si>
    <t>FRONTIERS IN ENVIRONMENTAL SCIENCE</t>
  </si>
  <si>
    <t>Introduction: The carbon cap and trade mechanism (CCTM) is forcing companies to reduce carbon emissions. Due to financial and technical constraints, manufacturers responsible for recycling and remanufacturing begin to seek embedded services from energy service companies (ESCOs), marking the emergence of embedded low-carbon service supply chains. The purpose of this paper is to explore the role of embedded low-carbon service in supply chains in lowering manufacturer's carbon emissions and maintaining economic growth.Methods: In this paper, a decision model for risk-averse closed-loop supply chain for embedded low-carbon service in uncertain markets is built by using the Stackelberg theory and mean-variance (MV) approach. Equilibrium decisions, the manufacturer's expected utility growth, and total carbon emission reduction are obtained. Sensitivity analysis is performed for the main parameters.Results: The results indicate that only when the manufacturer's risk aversion level and consumers' low-carbon preference are within the range of 0.35-0.9, can the manufacturer bring in embedded low-carbon service by cooperating with an ESCO through revenue-sharing contracts. When there is a higher carbon price, embedded low-carbon service can further increase the manufacturer's expected utility, maintain economic growth and reduce carbon emissions.Discussion: Embedded low-carbon service in supply chains can play a role in lowering manufacturers' carbon emissions and maintaining economic growth when the manufacturer's risk aversion level, carbon price, and consumers' low-carbon preference are high. Theoretically, this study combines closed-loop supply chains (CLSCs) and embedded low-carbon services, enriching supply chain theories. In addition, the findings provide managerial insights for manufacturers, ESCOs, and governments.</t>
  </si>
  <si>
    <t>chen, lulu/JTS-8486-2023</t>
  </si>
  <si>
    <t>2296-665X</t>
  </si>
  <si>
    <t>JAN 12 2023</t>
  </si>
  <si>
    <t>1088162</t>
  </si>
  <si>
    <t>10.3389/fenvs.2022.1088162</t>
  </si>
  <si>
    <t>WOS:000920246700001</t>
  </si>
  <si>
    <t>Guo, Y; Wang, MM; Yang, F</t>
  </si>
  <si>
    <t>Guo, Yu; Wang, Manman; Yang, Feng</t>
  </si>
  <si>
    <t>Joint emission reduction strategy considering channel inconvenience under different recycling structures</t>
  </si>
  <si>
    <t>The need for carbon emission reduction has worldwide consensus, so many countries have implemented cap-and trade regulation, and many firms are looking for ways to achieve emission reduction targets. Emission abatement through technological means and recycling has significant academic and practical value since manufacturing with green technology and remanufacturing to recycle products both reduce emissions. Focusing on a closed-loop supply chain with competitive recycling, we establish models for multiple recycling structures considering customers' perception of inconvenience in recycling channels to identify the optimal emission reduction strategy of manufacturers. The results show that looser regulation stimulates manufacturers to boost the recycling intensity and dominate the collection of used products. In addition, when the carbon quotas are greater than a threshold, manufacturers will improve the investment in green technology while deciding to recycle. As the carbon price and recycling savings grow, manufacturers should increase total investments. However, if the recycling savings are low or manufacturer's recycling channel is unattractive to consumers, manufacturers should invest even more in recycling than green technology under certain regulation intensities. Our numerical results show that manufacturer-led and recycling competition structures eliminate conflicts among supply chain members. Manufacturer-led and recycling competition structures also maximize both economic and environmental benefits as long as the unit price of carbon is not low. Our study contributes to the growing body of research on low-carbon operations and provides new insights into firms' decision-making and government policy for emission reduction.</t>
  </si>
  <si>
    <t>Wang, Manman/0000-0003-3159-5767</t>
  </si>
  <si>
    <t>JUL 2022</t>
  </si>
  <si>
    <t>169</t>
  </si>
  <si>
    <t>108159</t>
  </si>
  <si>
    <t>10.1016/j.cie.2022.108159</t>
  </si>
  <si>
    <t>APR 2022</t>
  </si>
  <si>
    <t>WOS:000797946900010</t>
  </si>
  <si>
    <t>Zhu, C; Ma, J; Li, J; Goh, M</t>
  </si>
  <si>
    <t>Zhu, Chen; Ma, Jing; Li, Jiang; Goh, Mark</t>
  </si>
  <si>
    <t>Grandfathering or benchmarking? The impact of carbon quota allocation rule on the joint emission reduction supply chain</t>
  </si>
  <si>
    <t>INTERNATIONAL JOURNAL OF PRODUCTION RESEARCH</t>
  </si>
  <si>
    <t>The choice of carbon quota allocation rule (CQA rule) is crucial for the efficient operation of cap-and-trade policy. This paper analyses the impact of grandfathering (GF) rule and benchmarking (BM) rule on the joint emission reduction (JER) supply chain by using a differential game approach. In the proposed model, the upstream manufacturer achieves its emission reduction target through green technology and recycling, and the downstream retailer promotes these products. Our results show that compared with the benchmark case, both CQA rules do not always encourage the manufacturer to increase emission reduction investments. Moreover, the environmental and economic performance of different CQA rules is time-varying. For low-emission products, both CQA rules may yield higher total carbon emissions. For medium and high-emission products, the BM rule has a better short-term environmental performance, while the GF rule always has the best long-term environmental performance. As such, the government should prioritise the inclusion of medium and high-emission manufacturers in the carbon trading market and adopt the BM rule at the initial stage, and then transition to the GF rule. We also provide practical insights on the timing of transition, setting free carbon quotas, balancing economic and environmental performance, and dealing with uncertain market changes.</t>
  </si>
  <si>
    <t>Li, Jiang/MEO-2811-2025</t>
  </si>
  <si>
    <t>Li, Jiang/0000-0001-8603-5498; Zhu, Chen/0000-0001-8788-8476</t>
  </si>
  <si>
    <t>0020-7543</t>
  </si>
  <si>
    <t>1366-588X</t>
  </si>
  <si>
    <t>MAY 19 2025</t>
  </si>
  <si>
    <t>3608</t>
  </si>
  <si>
    <t>3629</t>
  </si>
  <si>
    <t>10.1080/00207543.2024.2425777</t>
  </si>
  <si>
    <t>WOS:001353825200001</t>
  </si>
  <si>
    <t>Gao, Y; Lu, SJ; Zhan, S; Hu, CM; Liu, XB</t>
  </si>
  <si>
    <t>Gao, Yao; Lu, Shaojun; Zhan, Sheng; Hu, Chaoming; Liu, Xinbao</t>
  </si>
  <si>
    <t>Closed-loop supply chain network design with price-greenness-sensitive demand: A distributionally robust chance-constrained optimization approach</t>
  </si>
  <si>
    <t>COMPUTERS &amp; OPERATIONS RESEARCH</t>
  </si>
  <si>
    <t>In response to the government's heightened focus on recycling and remanufacturing, as well as the growing awareness among consumers about environmental security, manufacturing companies are currently required to establish efficient closed-loop supply chain networks in order to improve their social reputation and competitive advantage. This study investigates the optimization of a Closed-Loop Supply Chain (CLSC) network that involves multiple products, multiple periods, and uncertain returns, which also considers the influence of many factors, such as carbon cap-and-trade policy, raw part procurement discounts, and facility capacity constraints, on the supply chain. Simultaneously, customer demand is sensitive to both product pricing and product greenness, and product greenness can be improved by investing in emission reduction technologies. To address the uncertainty in the returns, we propose a two-stage distributionally robust chance-constrained optimization model, which is transformed into a mixed integer linear programming model. To efficiently address the complex problem, we design an improved Benders decomposition (IBD) algorithm. The experimental results confirm that the IBD algorithm has significant advantages when compared to the Benders decomposition algorithm. Additionally, this study conducted a sensitivity analysis on key parameters and proposed operation suggestions of practical importance.</t>
  </si>
  <si>
    <t>Hu, Chaoming Hu/IZE-5604-2023</t>
  </si>
  <si>
    <t>Lu, Shaojun/0000-0001-9195-4376</t>
  </si>
  <si>
    <t>0305-0548</t>
  </si>
  <si>
    <t>1873-765X</t>
  </si>
  <si>
    <t>172</t>
  </si>
  <si>
    <t>106803</t>
  </si>
  <si>
    <t>10.1016/j.cor.2024.106803</t>
  </si>
  <si>
    <t>WOS:001299656300001</t>
  </si>
  <si>
    <t>Pal, B; Mandal, A; Sana, SS</t>
  </si>
  <si>
    <t>Pal, Brojeswar; Mandal, Anindya; Sana, Shib Sankar</t>
  </si>
  <si>
    <t>A closed-loop green supply chain with retailers' competition and product recycling in the green environment under the cap-and-trade policy</t>
  </si>
  <si>
    <t>GREEN FINANCE</t>
  </si>
  <si>
    <t>Nowadays, product recycling has become an effective strategy for manufacturing industries to achieve sustainable development due to the scarcity of natural resources, waste management, and greenhouse gas emissions. This study considered an imperfect production-based competitive supply chain model for product recycling in an emission-reduction environment under a cap -and -trade scheme. The manufacturer invests in green technology to restrict carbon emissions during production. The recycler collects used items at a recovery rate depending on the buy-back price and environmental awareness effort. The rival retailers compete against each other for the retail price and promotional effort. The linear type of market demand depends on the retail price, promotional effort, and green level of the product. The proposed model was analyzed analytically and numerically under one centralized system, five decentralized systems, three Stackelberg, and two Nash game structures. Numerical examples and sensitivity analysis of the key parameters were studied to justify the feasibility of the proposed model. The present study revealed that the centralized scenario is mostly preferable for supply chain profit. The manufacturer-Stackelberg 1 scenario is most profitable for the manufacturer, whereas the two retailers collect maximum individual profit in the vertical Nash 2 model, where they jointly play the game. Moreover, retail price plays a crucial role in optimizing individual retailers' profits in the competitive market. In connection with the environmental aspects, the government should offer lower carbon caps to curtail excessive emissions and restrict the selling of excess carbon quotas.</t>
  </si>
  <si>
    <t>Mandal, Anindya/AAE-4624-2021; Sana, Shib/AAM-3813-2021; Pal, Brojeswar/V-8456-2019</t>
  </si>
  <si>
    <t>Sana, Shib/0000-0002-7834-8969; Pal, Brojeswar/0000-0002-8915-9995</t>
  </si>
  <si>
    <t>2643-1092</t>
  </si>
  <si>
    <t>117</t>
  </si>
  <si>
    <t>161</t>
  </si>
  <si>
    <t>10.3934/GF.2024006</t>
  </si>
  <si>
    <t>WOS:001192370900001</t>
  </si>
  <si>
    <t>Wang, XY; Han, SQ</t>
  </si>
  <si>
    <t>Wang, Xinyue; Han, Songqiao</t>
  </si>
  <si>
    <t>Optimal operation and subsidies/penalties strategies of a multi-period hybrid system with uncertain return under cap-and-trade policy</t>
  </si>
  <si>
    <t>As environmental regulations become more stringent worldwide, remanufacturing is attracting growing attention because of its economic and environmental opportunities and many issues related to operational management have been extensively studied in recent years. Most of the existing literature considered largely consistent carbon regulations over the entire planning horizon and assumed that all of the returns are remanufacturable. In practice, carbon regulations may vary at the different stages and whether cores can be remanufactured depends on the quality. In this paper, based on the dual mechanisms of cap-and-trade and subsidies/penalties, we investigate an acquisition and manufacturing/remanufacturing problem with stochastic return of cores and random yield rate, while taking into consideration the distinguishing carbon trading prices over manufacturing and remanufacturing periods as well as product shortages. First, we consider four frequently used probability distribution functions of the core quality level in a multi-period hybrid manufacturing and remanufacturing system to confirm the broader adaptability of the model to a general continuous quality distribution. Second, we propose a general carbon emissions cost function to show the effect of the quality variability on carbon emissions during remanufacturing. Third, the core quality level suitable for corporate recycling and the reasonable quotas of subsidies/penalties for different quality levels are determined simultaneously based on the model. Finally, numerical experiments are carried out using the genetic algorithm (GA) and the particle swarm optimization (PSO) algorithm to illustrate the validity and application of the model and then analyze the sensitivity of the relevant parameters. For all tested instances, important findings obtained include: (1) The increase in the carbon price of manufactured items is more advantageous than the decrease in the carbon price of remanufactured products in reducing carbon emissions and increasing total profits. (2) For quality level of cores, subsidies in the range of 0.2-0.4 and penalties in the range of 0.4-0.56 can simultaneously improve the recovery rate and promote remanufacturing in our experiments.</t>
  </si>
  <si>
    <t>Han, Songqiao/0000-0002-2896-0607</t>
  </si>
  <si>
    <t>DEC 2020</t>
  </si>
  <si>
    <t>2020</t>
  </si>
  <si>
    <t>150</t>
  </si>
  <si>
    <t>106892</t>
  </si>
  <si>
    <t>10.1016/j.cie.2020.106892</t>
  </si>
  <si>
    <t>WOS:000604134500028</t>
  </si>
  <si>
    <t>Cheng, PY; Ji, GX; Zhang, GT; Shi, YY</t>
  </si>
  <si>
    <t>Cheng, Peiyue; Ji, Guoxin; Zhang, Guitao; Shi, Yangyan</t>
  </si>
  <si>
    <t>A closed-loop supply chain network considering consumer's low carbon preference and carbon tax under the cap-and-trade regulation</t>
  </si>
  <si>
    <t>SUSTAINABLE PRODUCTION AND CONSUMPTION</t>
  </si>
  <si>
    <t>This paper investigates the optimal strategies for an economic constrained closed-loop supply chain network. Manufacturers are classified into two categories namely low-emission manufacturers and high-emission manufacturers, and are subject to two greenhouse gas (GHG) emission control policies. Low-emission manufacturers are equipped with green production technologies to achieve ecological goals. All manufacturers are responsible in recycling and remanufacturing processes. New products and remanufactured products are homogeneous, and have the same sales price in the demand markets. Based on the variational inequality (VI) theory, we obtain the control equilibrium conditions of the non-cooperative game theory model for each firm. We further solve the model with the modified projection algorithm, and statically analyze and compare the influence of relevant parameters such as carbon quota, consumers' low carbon preference and recovery rate on the network state through numerical examples. The results show that the GHG emission constraint may stimulate manufacturers to increase green technology investment level. Moreover, the introduction of reverse channel will promote resource recycling, but impair manufacturers' profits. The promotion of consumer's environmental protection awareness has positive influence on the operation of supply chain network. In general, there is a conflict between economic goals and ecological ones. However, the developed model proves that economic goals and ecological ones can be realized consistently under certain conditions. (C) 2021 Institution of Chemical Engineers. Published by Elsevier B.V. All rights reserved.</t>
  </si>
  <si>
    <t>Ji, Guoxin/NKP-5192-2025; Zhang, Guitao/AAE-5793-2019</t>
  </si>
  <si>
    <t>程, 培越/0000-0002-9063-7958</t>
  </si>
  <si>
    <t>2352-5509</t>
  </si>
  <si>
    <t>614</t>
  </si>
  <si>
    <t>635</t>
  </si>
  <si>
    <t>10.1016/j.spc.2021.11.006</t>
  </si>
  <si>
    <t>NOV 2021</t>
  </si>
  <si>
    <t>WOS:000744244100008</t>
  </si>
  <si>
    <t>Bera, S; Giri, BC</t>
  </si>
  <si>
    <t>Bera, Subhamoy; Giri, Bibhas C.</t>
  </si>
  <si>
    <t>Evolutionary game analysis for non-cooperative behavior of entities in a closed-loop green supply chain under government intervention</t>
  </si>
  <si>
    <t>SOFT COMPUTING</t>
  </si>
  <si>
    <t>Decentralized behavior of entities in a green supply chain plays a significant role in pricing and green innovation effort to produce more environment-friendly products at affordable prices. Government intervention (e.g., subsidy for green production, Cap-and-Trade Policy (CTP)) is a crucial component for diminishing carbon emissions due to manufacturing of new products and recycling of used products. In this study, we investigate the long-term decentralized behavior of supply chain members and the evolutionary stable decision of the government to intervene in price and sales effort competition among retailers. More precisely, through an evolutionary game theoretic framework, we look for the non-cooperative behavior of the population of retailers investing in sales efforts towards the manufacturer who invests in green level of the products, under government intervention and CTP. The model is further extended to analyze the evolutionary behavior of the population of government whether it intervenes or not in the same situation. Our study demonstrates that the whole population of retailers adopts the retailer-led Stackelberg strategy to deal with the manufacturer, and the most significant finding is that, in such a situation, government intervention is always favorable regardless of what the supply chain decides. Numerical results exhibit that whenever retailers dominate the market, it becomes beneficial for both retailers as well as the entire supply chain, and the environmental performance of the product also increases compared to the vertical Nash scenario.</t>
  </si>
  <si>
    <t>Bera, Subhamoy/OBO-0566-2025; Giri, Bibhas Chandra/OAJ-2539-2025</t>
  </si>
  <si>
    <t>Bera, Subhamoy/0009-0006-3021-6445</t>
  </si>
  <si>
    <t>1432-7643</t>
  </si>
  <si>
    <t>1433-7479</t>
  </si>
  <si>
    <t>DEC 2023</t>
  </si>
  <si>
    <t>23</t>
  </si>
  <si>
    <t>17785</t>
  </si>
  <si>
    <t>17808</t>
  </si>
  <si>
    <t>10.1007/s00500-023-09060-5</t>
  </si>
  <si>
    <t>AUG 2023</t>
  </si>
  <si>
    <t>WOS:001052020600001</t>
  </si>
  <si>
    <t>Verma, P; Mishra, VK</t>
  </si>
  <si>
    <t>Verma, Poonam; Mishra, Vinod Kumar</t>
  </si>
  <si>
    <t>Optimizing the Sustainability in the Supply Chain for Imperfect Deteriorating Items under Remanufacturing and Carbon Emission Regulation</t>
  </si>
  <si>
    <t>JOURNAL OF SYSTEMS SCIENCE AND SYSTEMS ENGINEERING</t>
  </si>
  <si>
    <t>In the previous few years, it has become increasingly important to reduce emissions of carbon in the chain of supply. The three-echelon supply chain model for inventory presented in this paper takes into the emissions of carbon from production, remanufacturing, storage, transport and disposal of deteriorating products, among other stages of the supply chain. Particularly, the approach includes a third-party logistics company (3PL) with a simplified setting and much distribution capacity, and it incorporates producer checks to reduce limited product supply. The main goal is to determine the capacity of various regulations, such as offsets for carbon, carbon taxes, and carbon cap-and-trade are at reduce overall costs and decrease the impact of carbon emissions. Further to making production and recycling decisions for the producer based on fluctuating customer demands, the model also suggests the best delivery dates, amounts, and durations for the third-party Logistics Company and customer. The study indicates that, among the regulatory strategies examined carbon cap-and-trade has the most impact. The managers of supply chains can reduce emissions of carbon by using this model to arrange transportation, dispose of waste, and effectively manage inventories. Furthermore, the results provide decision-makers with useful direction for developing economic carbon control legislation, supporting environmentally friendly production and rework able procedures, and establishing a balance between concern for the environment and cost-effectiveness.</t>
  </si>
  <si>
    <t>Mishra, Vinod/HTN-8948-2023</t>
  </si>
  <si>
    <t>1004-3756</t>
  </si>
  <si>
    <t>1861-9576</t>
  </si>
  <si>
    <t>10.1007/s11518-025-5644-1</t>
  </si>
  <si>
    <t>APR 2025</t>
  </si>
  <si>
    <t>WOS:001476186200001</t>
  </si>
  <si>
    <t>Dissou, Y; Sun, Q</t>
  </si>
  <si>
    <t>Dissou, Yazid; Sun, Qian</t>
  </si>
  <si>
    <t>GHG Mitigation Policies and Employment: A CGE Analysis with Wage Rigidity and Application to Canada</t>
  </si>
  <si>
    <t>CANADIAN PUBLIC POLICY-ANALYSE DE POLITIQUES</t>
  </si>
  <si>
    <t>We use a general equilibrium framework to assess the impact of carbon mitigation policies in the presence of labour market rigidities. We analyze the impact of reducing CO2 emissions in a cap-and-trade system and the implications of different revenue-recycling options. Our results suggest that the policy has a negative impact on employment and welfare when permit revenues are recycled as lump-sum transfers to households. Using the carbon proceeds to reduce payroll tax achieves better outcomes, as the benefits outweigh the pure abatement cost. Moreover, using permit revenues to reduce payroll tax of low-skill workers alone represents the best option.</t>
  </si>
  <si>
    <t>Sun, Qian (Chayn)/H-9058-2019</t>
  </si>
  <si>
    <t>0317-0861</t>
  </si>
  <si>
    <t>AUG 2013</t>
  </si>
  <si>
    <t>2013</t>
  </si>
  <si>
    <t>39</t>
  </si>
  <si>
    <t>S</t>
  </si>
  <si>
    <t>S53</t>
  </si>
  <si>
    <t>S65</t>
  </si>
  <si>
    <t>10.3138/CPP.39.Supplement2.S53</t>
  </si>
  <si>
    <t>WOS:000325516300006</t>
  </si>
  <si>
    <t>Safdar, N; Khalid, R; Ahmed, W; Imran, M</t>
  </si>
  <si>
    <t>Safdar, Nimra; Khalid, Rabia; Ahmed, Waqas; Imran, Muhammad</t>
  </si>
  <si>
    <t>Reverse logistics network design of e-waste management under the triple bottom line approach</t>
  </si>
  <si>
    <t>Enhancing social and economic effects along with reducing environmental effect has gained significant consideration in reverse logistics network design. Electronic waste management raises serious concerns due to its increasing quantity and hazardous nature in global business. The developed model is a multi objective reverse logistics network for electronic waste management, and the concept of the triple bottom line approach has been considered in the proposed study. The suggested study makes a trade-off between conflicting objectives. The research considers first customers, collection centers, distribution centers, second customers, and reprocessing units consisting of return evaluation centers, recycling centers and refurbishing centers. The carbon cap-and-trade policy has also been incorporated into the model. The objectives of the formulated model are to maximize the profit and minimize the carbon emissions as well as maximizing the job opportunities in a reverse logistics network. To deal with the uncertainty, neutrosophic optimization has been applied to avoid unrealistic modeling. A related numerical example has been performed and the results show that the transportation cost contributes to the major fraction of the total cost. The reprocessing at the return evaluation and recycling centers are the main source of carbon emissions. Sensitivity analysis has also been conducted to assess the application of the proposed model. It shows that a drastic increase of 42.6% occurs in the profit value when the per-unit carbon trading price is increased by 40% and vice-versa. Also, a variation is seen in the parameters like carbon emissions at recycling center with a change in total emissions value and the average number of units processed by one worker at return evaluation center with a variation in the number of job creation value. (c) 2020 Elsevier Ltd. All rights reserved.</t>
  </si>
  <si>
    <t>Ahmed, Waqas/U-4937-2019</t>
  </si>
  <si>
    <t>Ahmed, Waqas/0000-0002-4707-6454</t>
  </si>
  <si>
    <t>NOV 1 2020</t>
  </si>
  <si>
    <t>272</t>
  </si>
  <si>
    <t>122662</t>
  </si>
  <si>
    <t>10.1016/jidepro.2020.122662</t>
  </si>
  <si>
    <t>WOS:000571823200008</t>
  </si>
  <si>
    <t>Jauhari, WA; Wakhid, PA</t>
  </si>
  <si>
    <t>Jauhari, Wakhid Ahmad; Wakhid, Putra Abdul</t>
  </si>
  <si>
    <t>A multi-echelon closed-loop agricultural supply chain network problem for corn industry with waste recycling and carbon regulation</t>
  </si>
  <si>
    <t>MODELING EARTH SYSTEMS AND ENVIRONMENT</t>
  </si>
  <si>
    <t>This study introduces an advanced closed-loop agricultural supply chain optimization model specifically designed for the corn industry, integrating considerations of job opportunities and the implications of carbon cap-and-trade policies. The model's primary objective is twofold: to minimize total operational costs while enhancing job creation within the sector. The model accounts for various cost elements, including purchasing raw materials, production expenditures, facility establishment costs, inventory holding fees, transportation charges, and carbon emissions arising from supply chain activities. The model advances the literature by incorporating a complex supply chain structure that includes waste management and evaluates economic, environmental, and social dimensions. A transformation function is used to perform normalization by combining all objective functions. The proposed model demonstrates a robust capability to efficiently ascertain the optimal allocation of corn products and their derivatives among all stakeholders within the supply chain. To validate the model, comprehensive numerical case studies and sensitivity analyses were conducted to understand how fluctuations in key parameters affect overall system performance. The findings highlighted a concerning trend: as consumer demand escalates, costs, carbon emissions, and waste generation also increase, while, paradoxically, job opportunities within the industry decline. Of particular significance is the transform rate, which not only impacts costs and employment prospects but also determines the optimal number of facilities needed to meet demand. In contrast, fluctuations in operational costs and carbon pricing appear to influence only the financial aspects, without having a substantial effect on carbon emissions or employment opportunities. This nuanced perspective underscores the complexity of balancing economic and environmental objectives within the corn supply chain.</t>
  </si>
  <si>
    <t>Jauhari, Wakhid/K-4164-2019</t>
  </si>
  <si>
    <t>2363-6203</t>
  </si>
  <si>
    <t>2363-6211</t>
  </si>
  <si>
    <t>OCT 18 2025</t>
  </si>
  <si>
    <t>12</t>
  </si>
  <si>
    <t>10.1007/s40808-025-02652-0</t>
  </si>
  <si>
    <t>WOS:001595860100009</t>
  </si>
  <si>
    <t>Mcconahey, E</t>
  </si>
  <si>
    <t>Mcconahey, Erin</t>
  </si>
  <si>
    <t>Counting Carbons and Circular Diets</t>
  </si>
  <si>
    <t>ASHRAE JOURNAL</t>
  </si>
  <si>
    <t>We've all heard the mantra "Reduce, Reuse, Recycle." As a professional community, ASHRAE has historically been a leader in promoting the first principle in the context of energy efficiency. Now is the time to explore our industry's obligations under the second two principles. After all, the greening of the grid doesn't completely absolve building designers or equipment manufacturers of their carbon emissions responsibilities. As operational carbon begins to disappear by the late 21st century, the real influence of the carbon associated with construction itself comes under scrutiny. As cap-and-trade and/or carbon taxation schemes arise in spots around the world, it will become incumbent on designers and their clients to understand the "total carbon cost" of a retrofit, a tenant improvement or a new development and not just the operational benefits.</t>
  </si>
  <si>
    <t>0001-2491</t>
  </si>
  <si>
    <t>1943-6637</t>
  </si>
  <si>
    <t>5</t>
  </si>
  <si>
    <t>64</t>
  </si>
  <si>
    <t>71</t>
  </si>
  <si>
    <t>WOS:000598895400006</t>
  </si>
  <si>
    <t>Sun, HX; Wang, ZJ; Liu, YX; Zhao, C; Zhou, Z</t>
  </si>
  <si>
    <t>Sun, Hongxia; Wang, Zhijie; Liu, Yunxin; Zhao, Chuan; Zhou, Zhen</t>
  </si>
  <si>
    <t>Competition in recycling and sales market between retailer and third party under cap and trade</t>
  </si>
  <si>
    <t>ASIA PACIFIC JOURNAL OF MARKETING AND LOGISTICS</t>
  </si>
  <si>
    <t>PurposeThe purpose of this paper is to investigate the impact of carbon price and competition intensity and the optimal decisions in a two-echelon low-carbon supply chain, consisting of a manufacturer, a retailer and a third party, under carbon cap and trade (CCT) and in two different competitive behaviors in the sales and recycling markets. First, two models are built and the optimal solutions are obtained. Second, a comparative analysis of these optimal solutions and the effects of some key parameters on optimal decisions are examined.Design/methodology/approachThe authors adopt the manufacturer-led Stackelberg game theoretic framework, where the manufacturer decides the wholesale price, followed by the retailer and third party to determine the retail and recycling quantities. Moreover, the retailer and third party engage in Stackelberg or Cournot game.FindingsFirstly, the CCT benefits the third party more. A rise in carbon price negatively affects manufacturer production and retailer recycling but boosts the third party's recycling. Secondly, the Stackelberg model allows the third party to get more recycling volume and profit, while the Cournot model is better for the manufacturer and retailer. Thirdly, when faced with the increasing competition intensity in the recycling and sales market, the third party and retailer adopt various strategies in response to different competition intensities. Finally, social welfare in the Cournot model is higher in most of the cases, but when the third party and retailer's recycling competition intensity decreases below a certain threshold, the social welfare in the Stackelberg model exceeds that in the Cournot model.Research limitations/implicationsFirstly, in both models, as the carbon price increases, the amounts of new products, the retailer's recycling volume and profit decrease. The manufacturer's profit rebounds when the carbon price surpasses a threshold. Secondly, when the third party faces a rise in the retailer's recycling market competition, its strategy differs from that of the retailer in the sales market. Finally, the retailer and third party tend to set a higher recycling price than in the Cournot model. The retailer and manufacturer can obtain higher profits in the Cournot model, while the third party is more profitable in the Stackelberg model.Practical implicationsThis paper can also further relax the assumptions, so our paper can expand the research from several aspects. First, this paper only considers the single-period model; thus, the multi-periods can be considered in the supply chain model. Second, only the consequences of the CCT mechanism are the subject of this paper. However, in real life, there are still carbon emissions reduction (CER) regulatory mechanisms such as carbon tax, so comparing and analyzing the effects of various CER mechanisms is an interesting task.Social implicationsThe government should provide more support and opportunities for the third party in the early stage of development under the CCT mechanism. Meanwhile, the government ought to establish acceptable carbon quotas and strengthen the supervision of the carbon market. The manufacturer should monitor carbon price changes and adjust production and CER strategies and increase CER technology investment. The retailer should gather information and aim to make concurrent decisions with the third party. The third party should grasp decision-making initiative and be a competitive leader.The retailer and third party should closely watch competition intensity and flexibly adjust recycling and pricing strategies in both markets.Originality/valueThis paper concentrates on the scenario where retailer and third party compete in both the sales and recycling markets under CCT and focuses on the differences in competition intensity between retailer and third party. Furthermore, this paper considers different competitive behaviors and analyzes the optimal decisions of all parties when competing simultaneously in the sales and recycling markets, which provide more targeted guidance for practical operation.</t>
  </si>
  <si>
    <t>SUN, HONGXIA/PNF-1561-2026; Liu, Yunxin/LCD-3829-2024</t>
  </si>
  <si>
    <t>1355-5855</t>
  </si>
  <si>
    <t>1758-4248</t>
  </si>
  <si>
    <t>MAR 4 2026</t>
  </si>
  <si>
    <t>38</t>
  </si>
  <si>
    <t>720</t>
  </si>
  <si>
    <t>749</t>
  </si>
  <si>
    <t>10.1108/APJML-12-2024-1956</t>
  </si>
  <si>
    <t>WOS:001512946100001</t>
  </si>
  <si>
    <t>Gurgel, AC; Paltsev, S; Reilly, J; Metcalf, G</t>
  </si>
  <si>
    <t>Gurgel, Angelo Costa; Paltsev, Sergey; Reilly, John; Metcalf, Gilbert</t>
  </si>
  <si>
    <t>An analysis of US greenhouse gas cap-and-trade proposals using a forward-looking economic model</t>
  </si>
  <si>
    <t>ENVIRONMENT AND DEVELOPMENT ECONOMICS</t>
  </si>
  <si>
    <t>We develop a forward-looking version of the recursive dynamic MIT Emissions Prediction and Policy Analysis (EPPA) model, and apply it to examine the economic implications of proposals in the US Congress to limit greenhouse gas (GHG) emissions. We find that shocks in the consumption path are smoothed out in the forward-looking model and that the lifetime welfare cost of GHG policy is lower than in the recursive model, since the forward-looking model can fully optimize over time. The forward-looking model allows us to explore issues for which it is uniquely well suited, including revenue-recycling and early action crediting. We find capital tax recycling to be more welfare-cost reducing than labor tax recycling because of its long-term effect on economic growth. Also, there are substantial incentives for early action credits; however, when spread over the full horizon of the policy they do not have a substantial effect on lifetime welfare costs.</t>
  </si>
  <si>
    <t>Gurgel, Angelo/D-9446-2013</t>
  </si>
  <si>
    <t>Gurgel, Angelo/0000-0001-8331-9508; Paltsev, Sergey/0000-0003-3287-0732</t>
  </si>
  <si>
    <t>1355-770X</t>
  </si>
  <si>
    <t>1469-4395</t>
  </si>
  <si>
    <t>APR 2011</t>
  </si>
  <si>
    <t>2011</t>
  </si>
  <si>
    <t>155</t>
  </si>
  <si>
    <t>176</t>
  </si>
  <si>
    <t>10.1017/S1355770X10000495</t>
  </si>
  <si>
    <t>WOS:000289876900002</t>
  </si>
  <si>
    <t>Calaf-Forn, M; Roca, J; Puig-Ventosa, I</t>
  </si>
  <si>
    <t>Calaf-Forn, Maria; Roca, Jordi; Puig-Ventosa, Ignasi</t>
  </si>
  <si>
    <t>Cap and trade schemes on waste management: A case study of the Landfill Allowance Trading Scheme (LATS) in England</t>
  </si>
  <si>
    <t>WASTE MANAGEMENT</t>
  </si>
  <si>
    <t>The Landfill Allowance Trading Scheme (LATS) is one of the main instruments used in England to enforce the landfill diversion targets established in the Directive 1999/31/EC of the European Parliament and of the Council of 26 April 1999 on the landfill of waste (Landfill Directive). Through the LATS, biodegradable municipal waste (BMW) allowances for landfilling are allocated to each local authority, otherwise known as waste disposal authorities (WDAs). The quantity of landfill allowances received is expected to decrease continuously from 2005/06 to 2019/20 so as to meet the objectives of the Landfill Directive. To achieve their commitments, WDAs can exchange, buy, sell or transfer allowances among each other, or may reprofile their own allocation through banking and/or borrowing. Despite the goals for the first seven years - which included two target years (2005/06 and 2009/10) - being widely achieved (the average allocation of allowances per WDA was 22.9% higher than those finally used), market activity among WDAs was high and prices were not very stable. Results in terms of waste reduction and recycling levels have been satisfactory. The reduction of BMW landfilled (in percentage) was higher during the first seven years of the LATS period (2005/06-2011/12) (around 7% annually) than during the previous period (2001/02-2004/05) (4.2% annually). Since 2008, the significance of the LATS diminished because of an increase in the rate of the UK Landfill Tax. The LATS was suppressed after the 2012/13 target year, before what it was initially scheduled. The purpose of this paper is to describe the particularities of the LATS, analyse its performance as a waste management policy, make a comparison with the Landfill Tax, discuss its main features as regards efficiency, effectiveness and the application of the "polluter pays" principle and finally discuss if the effect of the increase in the Landfill Tax is what made the LATS ultimately unnecessary. (C) 2014 Elsevier Ltd. All rights reserved.</t>
  </si>
  <si>
    <t>Roca, Jordi/H-5851-2015</t>
  </si>
  <si>
    <t>Puig-Ventosa, Ignasi/0000-0002-8097-5283; Roca, Jordi/0000-0001-7766-3759</t>
  </si>
  <si>
    <t>0956-053X</t>
  </si>
  <si>
    <t>1879-2456</t>
  </si>
  <si>
    <t>MAY 2014</t>
  </si>
  <si>
    <t>2014</t>
  </si>
  <si>
    <t>34</t>
  </si>
  <si>
    <t>919</t>
  </si>
  <si>
    <t>928</t>
  </si>
  <si>
    <t>10.1016/j.wasman.2014.02.022</t>
  </si>
  <si>
    <t>24661742</t>
  </si>
  <si>
    <t>WOS:000335290100010</t>
  </si>
  <si>
    <t>C</t>
  </si>
  <si>
    <t>Mayer, J</t>
  </si>
  <si>
    <t>Mayer, Jim</t>
  </si>
  <si>
    <t>Improving Sustainability of Ion Implant Modules</t>
  </si>
  <si>
    <t>ION IMPLANTATION TECHNOLOGY 2010</t>
  </si>
  <si>
    <t>Semiconductor fabs have long been pressured to manage capital costs, reduce energy consumption and increasingly improve efforts to recycle and recover resources. Ion implant tools have been high-profile offenders on all three fronts. They draw such large volumes of air for heat dissipation and risk reduction that historically, they are the largest consumer of cleanroom air of any process tool -- and develop energy usage and resource profiles to match. This paper presents a documented approach to reduce their energy consumption and dramatically downsize on-site facilities support for cleanroom air manufacture and abatement. The combination produces significant capital expenditure savings. The case entails applying SAGS Type 1 (sub-atmospheric gas systems) toxic gas packaging to enable engineering adaptations that deliver the energy savings and cost benefits without any reduction in environmental health and safety. The paper also summarizes benefits as they relate to reducing a fabs carbon emission footprint (and longer range advantages relative to potential cap and trade programs) with existing technology.</t>
  </si>
  <si>
    <t>0094-243X</t>
  </si>
  <si>
    <t>1321</t>
  </si>
  <si>
    <t>404</t>
  </si>
  <si>
    <t>407</t>
  </si>
  <si>
    <t>Conference Proceedings Citation Index - Science (CPCI-S)</t>
  </si>
  <si>
    <t>WOS:000288402500097</t>
  </si>
  <si>
    <t>Tsao, YC; Lee, PL; Chen, CH; Liao, ZW</t>
  </si>
  <si>
    <t>Tsao, Yu-Chung; Lee, Pei-Ling; Chen, Chia-Hung; Liao, Zong-Wei</t>
  </si>
  <si>
    <t>Sustainable newsvendor models under trade credit</t>
  </si>
  <si>
    <t>Governments and industry are actively seeking means of reducing global warming. The management of supply chains while taking into account the effects on the environment is an important issue. Therefore, we present newsvendor models that take into account carbon emissions, trade credit, and product recycling, in which the credit period affects the risk of default and the demand is uncertain in this paper. The objective of these models is to determine the optimal ordering quantity, credit period, and recycle price in order to maximize total profits. Three carbon emission incentives are taken into account: (1) carbon tax (2) direct cap (3) carbon cap and trade. We also incorporate risk-management methods to limit risk of default, providing a solution for each type of carbon emission incentive. Numerical analysis is used to illustrate the implementation of solutions and the degree to which system parameters affect profits and decision making. The results show that higher carbon taxes reduce recycle prices, order quantities, and total profits. Increasing the carbon cap leads to increases in recycle price, order quantity, and total profit. A higher carbon price drives down the recycle price, order quantity, and total profits. (C) 2016 Elsevier Ltd. All rights reserved.</t>
  </si>
  <si>
    <t>Tsao, Yu-Chung/0000-0001-5058-8728</t>
  </si>
  <si>
    <t>JAN 10 2017</t>
  </si>
  <si>
    <t>2017</t>
  </si>
  <si>
    <t>141</t>
  </si>
  <si>
    <t>1478</t>
  </si>
  <si>
    <t>1491</t>
  </si>
  <si>
    <t>10.1016/j.jclepro.2016.09.228</t>
  </si>
  <si>
    <t>WOS:000389090300135</t>
  </si>
  <si>
    <t>Van den Bergh, JCJM</t>
  </si>
  <si>
    <t>Van den Bergh, Jeroen C. J. M.</t>
  </si>
  <si>
    <t>Rebound policy in the Paris Agreement: instrument comparison and climate-club revenue offsets</t>
  </si>
  <si>
    <t>CLIMATE POLICY</t>
  </si>
  <si>
    <t>It is argued that without an international climate treaty, or with a soft treaty in the form of voluntary pledges, well-intended local and national climate strategies will seriously rebound in terms of energy use and CO2 emissions. I unravel the complexity of rebound in an international context, for which purpose the distinction between national and international rebound is introduced. The main climate-energy strategies and policies are assessed based on their capacity to control rebound, with carbon pricing - especially cap-and-trade - appearing to be the best approach. It is argued that motivations for further negotiations on amendments to the recent Paris climate agreement, namely on national policy coordination, can be strengthened by rebound concerns. As part of this, a new suggestion is to complement carbon equalization tariffs on carbon-intensive goods imported from countries with weak or non-existent climate policies with 'revenue-recycling offsets'. These offsets would ease the political way to implementing carbon equalization tariffs, in turn creating pressure on countries to sign an effective climate treaty - a requirement to achieve consistent and serious carbon pricing worldwide. To support these arguments, the empirical patterns of rebound estimates are broadly outlined.Policy relevanceRebound is given scant attention in both IPCC documents and UNFCCC climate summits, where climate agreements are negotiated. This article argues that without an international climate treaty, or with a soft treaty in the form of voluntary pledges, as characterizes the recent Paris climate agreement, well-intended local and national climate strategies will seriously rebound in terms of CO2 emissions. This means that the motivations for climate negotiations can be strengthened by drawing attention to rebound concerns. The major current climate-energy strategies and policies are assessed on the basis of their capacity to control rebound, with carbon pricing - notably cap-and-trade - revealed to be the best approach. Further analysis and discussion of this is welcome, especially as rebound is neglected in the comparisons of carbon tax and emissions trading solutions to global warming. In particular, rebound should be added to the set of core criteria for judging and comparing instruments of climate policy. In addition, a new suggestion offered is to complement a climate club with carbon equalization tariffs on carbon-intensive goods imported from countries lacking strong climate policy with 'revenue-recycling offsets'. This would make the implementation of such tariffs more politically feasible as well as creating pressure on countries to sign an effective climate treaty.</t>
  </si>
  <si>
    <t>van den Bergh, Jeroen/C-7103-2008</t>
  </si>
  <si>
    <t>van den Bergh, Jeroen/0000-0003-3415-3083</t>
  </si>
  <si>
    <t>1469-3062</t>
  </si>
  <si>
    <t>1752-7457</t>
  </si>
  <si>
    <t>801</t>
  </si>
  <si>
    <t>813</t>
  </si>
  <si>
    <t>10.1080/14693062.2016.1169499</t>
  </si>
  <si>
    <t>WOS:000411385700006</t>
  </si>
  <si>
    <t>Li, XL; Ji, DY; Gao, DY; Jin, CH; Li, WT; Tian, XL; Sun, S; Gao, KY</t>
  </si>
  <si>
    <t>Li, Xinlu; Ji, Dengyi; Gao, Diyi; Jin, Chunhua; Li, Wenting; Tian, Xinluan; Sun, Sheng; Gao, Kaiye</t>
  </si>
  <si>
    <t>A review of closed-loop supply chain optimization research from carbon pricing and cap policy perspective</t>
  </si>
  <si>
    <t>INTERNATIONAL JOURNAL OF GENERAL SYSTEMS</t>
  </si>
  <si>
    <t>The increasing urgency of climate change has intensified the role of carbon policies in regulating emissions, particularly within manufacturing, a major contributor to greenhouse gases. This study systematically reviews 121 peer-reviewed articles, providing a structured synthesis of closed-loop supply chain (CLSC) optimization strategies under cap-and-trade, carbon tax, and carbon cap policies. It offers three key contributions. First, it categorizes the effects of different carbon pricing and cap policies on CLSC structures, analyzing their impact on product pricing, recycling strategies, and stakeholder decision-making. Second, it provides a bibliometric analysis that identifies research trends, regional contributions, and gaps, highlighting underexplored areas. Third, it evaluates advanced optimization methodologies, including stochastic programming, fuzzy optimization, and robust optimization, demonstrating their effectiveness in mitigating uncertainty and enhancing supply chain resilience. By bridging carbon policy and supply chain management, this review provides a roadmap for future research on sustainable CLSC models.</t>
  </si>
  <si>
    <t>0308-1079</t>
  </si>
  <si>
    <t>1563-5104</t>
  </si>
  <si>
    <t>APR 3 2026</t>
  </si>
  <si>
    <t>55</t>
  </si>
  <si>
    <t>341</t>
  </si>
  <si>
    <t>366</t>
  </si>
  <si>
    <t>10.1080/03081079.2025.2534838</t>
  </si>
  <si>
    <t>SEP 2025</t>
  </si>
  <si>
    <t>WOS:001572949300001</t>
  </si>
  <si>
    <t>Nesje, F; Schmidt, RC; Drupp, MA</t>
  </si>
  <si>
    <t>Nesje, Frikk; Schmidt, Robert C.; Drupp, Moritz A.</t>
  </si>
  <si>
    <t>Designing Carbon Pricing Policies Across the Globe</t>
  </si>
  <si>
    <t>ENVIRONMENTAL &amp; RESOURCE ECONOMICS</t>
  </si>
  <si>
    <t>This study presents a large-scale, multi-country assessment of expert recommendations on key policy design options for implementing carbon pricing schemes at a country level, for which there is no consensus in the literature. Based on a survey of more than 400 academic experts on carbon pricing across the globe, we find that almost twice as many favor a carbon tax over a cap-and-trade scheme for unilateral carbon pricing than vice versa, and three-quarters strongly recommend using border carbon adjustment to address competitiveness concerns. By contrast, guidance on the use of revenue from carbon pricing is much more nuanced, with considerably lower support for lump-sum transfers to households than reflected in academic and policy discussions. Furthermore, recommendations on instrument choice and revenue use vary considerably with country and expert characteristics, such as GDP per capita and academic discipline. Our findings can guide the search for suitable public policy approaches that combine environmental effectiveness with economic efficiency and fairness considerations.</t>
  </si>
  <si>
    <t>Nesje, Frikk/0000-0002-5675-136X; Drupp, Moritz/0000-0001-8981-0496</t>
  </si>
  <si>
    <t>0924-6460</t>
  </si>
  <si>
    <t>1573-1502</t>
  </si>
  <si>
    <t>88</t>
  </si>
  <si>
    <t>3585</t>
  </si>
  <si>
    <t>3616</t>
  </si>
  <si>
    <t>10.1007/s10640-025-01036-3</t>
  </si>
  <si>
    <t>WOS:001578688900001</t>
  </si>
  <si>
    <t>Karim, R; Nakade, K</t>
  </si>
  <si>
    <t>Karim, Rubayet; Nakade, Koichi</t>
  </si>
  <si>
    <t>A Literature Review on the Sustainable EPQ Model, Focusing on Carbon Emissions and Product Recycling</t>
  </si>
  <si>
    <t>LOGISTICS-BASEL</t>
  </si>
  <si>
    <t>Background: Many businesses want to include sustainability in their manufacturing operations. A conventional economic production quantity (EPQ) model is employed to calculate the ideal number of products to manufacture at one time. The goal of this study was to look at the current research on sustainable economic production quantity and supply chain models and suggest prospective future research directions based on existing knowledge gaps. Methods: In this perspective, we used systematic procedures to conduct a survey that included studies from two scenarios: (1a) a sustainable EPQ model that accounts for carbon emissions from inventory storage and manufacture, (1b) a sustainable EPQ model that includes product recycling, and (2) a reverse logistics model that accounts for emissions and product recycling. Results: According to the inquiry, there are reverse logistics models in the literature that consider carbon emissions and product recycling together, but they are not jointly considered for modeling a sustainable EPQ model considering the situation where the manufacturing system is imperfect, although both are vital for ensuring environmental sustainability. Conclusions: In the future, the EPQ model can be developed with these two aspects in mind to understand the effects of product recycling on carbon emissions while controlling production and inventories for an imperfect manufacturing system.</t>
  </si>
  <si>
    <t>Karim, Rubayet/GNH-2459-2022</t>
  </si>
  <si>
    <t>Karim, Rubayet/0000-0001-7622-704X</t>
  </si>
  <si>
    <t>2305-6290</t>
  </si>
  <si>
    <t>10.3390/logistics6030055</t>
  </si>
  <si>
    <t>WOS:000860106100001</t>
  </si>
  <si>
    <t>Feng, ZW; Luo, N; Shalpegin, T; Cui, H</t>
  </si>
  <si>
    <t>Feng, Zhangwei; Luo, Na; Shalpegin, Timofey; Cui, Huan</t>
  </si>
  <si>
    <t>The influence of carbon emission reduction instruments on blockchain technology adoption in recycling batteries of the new energy vehicles</t>
  </si>
  <si>
    <t>The new energy vehicle (NEV) is emerging as an important alternative in the automobile industry in its potential to alleviate environmental pollution and contribute to carbon neutrality. The rapid growth of NEVs has been reflected in the scaling up of electric vehicle battery production. The dramatic increase of retired batteries, however, exposes the technological limitations in current recycling operations, which will ultimately impede the sustainable development of the NEV supply chain. Blockchain technology (BT) adoption provides a solution by contributing to the construction of an efficient recycling network. Our research investigates the influence of carbon reduction instruments on the uptake of BT. The key findings are as follows. Under a carbon tax system, (1) carbon emission reduction encourages the battery supplier to adopt BT; (2) BT adoption increases the profits of NEV supply chain stakeholders. Under carbon cap-and-trade regulations, (1) the unit outsourcing fee and the performance of the BT impact the investment decision of the manufacturer; (2) the profit of the third-party enterprise is increased by introducing the BT. Under both policies, improving the efficiency of BT helps to upgrade the traceability level and contribute to carbon neutrality in the NEV supply chain.</t>
  </si>
  <si>
    <t>Luo, Na/KOC-3893-2024; Shalpegin, Timofey/G-7586-2019</t>
  </si>
  <si>
    <t>Luo, Na/0000-0002-4216-974X; FENG, Zhangwei/0000-0001-5282-1175</t>
  </si>
  <si>
    <t>FEB 1 2024</t>
  </si>
  <si>
    <t>891</t>
  </si>
  <si>
    <t>908</t>
  </si>
  <si>
    <t>10.1080/00207543.2023.2175173</t>
  </si>
  <si>
    <t>MAR 2023</t>
  </si>
  <si>
    <t>WOS:000943729700001</t>
  </si>
  <si>
    <t>Zhang, DL; Li, F; Song, Y; Zhu, QY</t>
  </si>
  <si>
    <t>Zhang, Danlu; Li, Feng; Song, Yi; Zhu, Qingyuan</t>
  </si>
  <si>
    <t>Recycling strategies of dual-channel closed-loop supply chain considering reference low-carbon effect</t>
  </si>
  <si>
    <t>Against the backdrop of low-carbon economy development, enterprises are increasingly engaging in low-carbon recyclable products. However, consumers' environmental awareness is also growing, and enterprises' emission reduction equipment is aging, thus the actual emission abatement volume of green products and consumer expectations are both constantly evolving. This presents enterprises with new challenges in dynamically adjusting their dual-channel recycling strategies. Based on the above observations, this study integrates dynamic carbon abatement and the reference low-carbon effect into a dual-channel closed-loop supply chain (CLSC), constructing three recycling strategies: manufacturer, retailer, and third-party recycling. By introducing low-carbon cost-sharing, this paper employs a differential game to explore how these factors influence recycling strategies in dual-channel CLSC. This study obtains some key findings. First, when the manufacturer's recycling cost coefficient is sufficiently high, outsourcing to the third-party recycler improves recovery efforts more effectively than the retailer recycling, despite both having lower costs. Second, a high memory parameter always reduces the supply chain profit when the product emission reduction is in the growth stage but may enhance profits in the stabilization stage. Finally, and interestingly, transferring retailer's low-carbon promotion costs to the manufacturer and manufacturer's abatement technology costs to the retailer or the third-party recycler can intrinsically enhance CLSC profits.</t>
  </si>
  <si>
    <t>Zhu, Qingyuan/KOO-9515-2024; Li, Feng/J-8822-2013</t>
  </si>
  <si>
    <t>Li, Feng/0000-0002-4387-423X</t>
  </si>
  <si>
    <t>10.1007/s10479-025-06788-1</t>
  </si>
  <si>
    <t>WOS:001550027500001</t>
  </si>
  <si>
    <t>Kundu, S</t>
  </si>
  <si>
    <t>Kundu, Soumita</t>
  </si>
  <si>
    <t>Pricing and carbon emission reduction decisions in the dual-channel supply chain with exchange offers</t>
  </si>
  <si>
    <t>OPSEARCH</t>
  </si>
  <si>
    <t>Consumers' growing environmental awareness and preference for low-carbon products significantly influence market demand. In response, industries worldwide are increasingly adopting environmentally sustainable production practices to maintain competitiveness. This paper investigates a dual-channel supply chain model operating under a low carbon environment, where the manufacturer's emission reduction decision is driven by cap-and-trade regulation and consumers' low-carbon preference. The model incorporates a recycling-oriented "buy new with exchange" policy by the manufacturer to endorse environmental sustainability. Using a Stackelberg game-theoretic approach, the study analyses the emission reduction behavior, the old product exchange value and pricing strategies of the players. Results indicate that manufacturer benefits from the 'buy new with exchange' scheme, when manufacturing becomes expensive or carbon price rises. Furthermore, the numerical experiments show that increasing carbon price and consumers' stronger low-carbon preferences boost supply chain emission reduction and overall sustainability. Moreover, consumers' low-carbon preferences consistently benefit supply chain members. In contrast, the firm's profit increases with carbon price only under a higher carbon cap, due to the ability to sell surplus carbon credits.</t>
  </si>
  <si>
    <t>Kundu, Soumita/0000-0002-7836-0044</t>
  </si>
  <si>
    <t>0030-3887</t>
  </si>
  <si>
    <t>0975-0320</t>
  </si>
  <si>
    <t>10.1007/s12597-025-01008-7</t>
  </si>
  <si>
    <t>WOS:001574304600001</t>
  </si>
  <si>
    <t>Xia, XQ; Li, MY; Li, B; Wang, H</t>
  </si>
  <si>
    <t>Xia, Xiqiang; Li, Mengya; Li, Biao; Wang, Hao</t>
  </si>
  <si>
    <t>The Impact of Carbon Trade on Outsourcing Remanufacturing</t>
  </si>
  <si>
    <t>Outsourcing remanufacturing is an important way to achieve resource recycling, green manufacturing and carbon neutrality goals. To analyze the impact of carbon trade on manufacturing/remanufacturing under outsourcing remanufacturing, this article builds a game model between an original equipment manufacturer (OEM) and a remanufacturer under the carbon trade policy. In the outsourcing remanufacturing model, this article compares the impact of the carbon trade policy on the unit retail price, sales volume, revenue, environmental impact, and consumer surplus of new and remanufactured products. The research mainly draws the following conclusions: (1) Carbon trade increases the prices of both new and remanufactured products and the cost of outsourcing. Only when certain conditions are met can increased carbon trade prices increase revenue. (2) The carbon trade policy helps reduce the adverse impact on the environment, but only when the carbon trade price is greater than a certain threshold can it increase consumer surplus. (3) Consumer preferences and carbon emissions of the unit product affect manufacturers' profits. Increased consumer preference for remanufactured products and reduced carbon emissions of remanufactured products contribute to increased sales and revenues.</t>
  </si>
  <si>
    <t>Xia, Xiqiang/OPN-2467-2025</t>
  </si>
  <si>
    <t>Xia, Xiqiang/0000-0002-0842-8162; Li, Mengya/0000-0002-6605-4015</t>
  </si>
  <si>
    <t>2021</t>
  </si>
  <si>
    <t>10804</t>
  </si>
  <si>
    <t>10.3390/ijerph182010804</t>
  </si>
  <si>
    <t>34682547</t>
  </si>
  <si>
    <t>WOS:000714865400001</t>
  </si>
  <si>
    <t>Li, QR; Chen, WD; Zhang, YM</t>
  </si>
  <si>
    <t>Li, Qianru; Chen, Weida; Zhang, Yongming</t>
  </si>
  <si>
    <t>OPTIMAL PRODUCTION AND EMISSION REDUCTION POLICIES FOR A REMANUFACTURING FIRM CONSIDERING DEFERRED PAYMENT STRATEGY</t>
  </si>
  <si>
    <t>Carbon emission reduction is regarded as an effective way to protect the environment, which requires a large amount of capital. Thus, for a remanufacturing firm with limited initial capital, trade credits act as an effective financing method in supporting production and emission reductions. In this study, under the cap-and-trade and government's subsidy policies, a joint decision on recycling, remanufacturing and emission reduction by a financially constrained remanufacturer with considering deferred payment to a third-party recycler is analyzed. On the basis, optimization models are established to derive the optimal recycling quantity, carbon reduction rate and government subsidy rate by using a backward induction. Furthermore, an analytical comparison is provided between the cases of base model, carbon abatement investment model and deferred payment model. Numerical experiment results indicate that the remanufacturer can always make use of the investment option to further decrease its carbon emissions and gain more profit. We also find that deferred payment can effectively mitigate carbon emissions only when the degree of emission efforts is more than a certain critical value, and it also plays a positive role in the third-party recycler's revenue, especially for the case with higher initial capital. Some other managerial implications are further discussed.</t>
  </si>
  <si>
    <t>Chen, Weida/0000-0002-8552-4772; Zhang, Yongming/0000-0003-3301-1884</t>
  </si>
  <si>
    <t>SEP 2021</t>
  </si>
  <si>
    <t>2475</t>
  </si>
  <si>
    <t>2503</t>
  </si>
  <si>
    <t>10.3934/jimo.2020078</t>
  </si>
  <si>
    <t>WOS:000740705700011</t>
  </si>
  <si>
    <t>Zhang, XM; Li, QW; Qi, GH</t>
  </si>
  <si>
    <t>Zhang, Xuemei; Li, Qianwen; Qi, Guohu</t>
  </si>
  <si>
    <t>Decision-Making of a Dual-Channel Closed-Loop Supply Chain in the Context Government Policy: A Dynamic Game Theory</t>
  </si>
  <si>
    <t>DISCRETE DYNAMICS IN NATURE AND SOCIETY</t>
  </si>
  <si>
    <t>To analyze the effect of government reward-penalty policies (RPPs) on the decisions of a dual-channel closed-loop supply chain (CLSC), this paper endogenizes government decision variables to maximize social welfare and builds four decision-making models (without RPP, with carbon emission RPP, with recycling amount RPP, and with double RPP) by using a Stackelberg dynamic game between the government and supply chain members. The research results show that, (1) in the four models, there exist optimal prices and reward-penalty coefficients to maximize the supply chain members' profits and social welfare. (2) Comparing with model W, under most conditions, three government RPPs decrease the demand for new products and increase the demand for remanufactured products. Comparing the case without RPP, R's profit decreases, and when the carbon emission cap is very big and the lowest recycling amount is very small, M's profit increases. (3) In most cases, the three government RPPs can effectively control the total carbon emission and increase the social welfare, but they damage the benefits of retailers and consumers. With the increase of the carbon emission intensity of remanufactured products, the government can implement the double RPP, the carbon emission RPP, and the recycling amount RPP in turn.</t>
  </si>
  <si>
    <t>LI, QIANWEN/ADI-9067-2022</t>
  </si>
  <si>
    <t>Qi, Guohu/0000-0002-8646-9103</t>
  </si>
  <si>
    <t>1026-0226</t>
  </si>
  <si>
    <t>1607-887X</t>
  </si>
  <si>
    <t>MAY 26 2020</t>
  </si>
  <si>
    <t>2313698</t>
  </si>
  <si>
    <t>10.1155/2020/2313698</t>
  </si>
  <si>
    <t>WOS:000540590200003</t>
  </si>
  <si>
    <t>Yang, JH; Liu, N; Xie, WQ; Zhai, LY</t>
  </si>
  <si>
    <t>Yang, Jianhua; Liu, Na; Xie, Wenqian; Zhai, Luyu</t>
  </si>
  <si>
    <t>Privacy protection strategies and recycling model selection of closed-loop supply chain considering consumer preferences</t>
  </si>
  <si>
    <t>CENTRAL EUROPEAN JOURNAL OF OPERATIONS RESEARCH</t>
  </si>
  <si>
    <t>Against the backdrop of frequent data breaches, consumers are increasingly concerned about privacy and information security when participating in recycling programs. This necessitates that e-waste recyclers enhance their privacy protection technologies. Addressing consumers' demand for privacy protection, this study constructs game-theoretic models of three dual-recycling modes under carbon capand-trade regulation. Through mathematical analysis and numerical simulation, we examine how factors like remanufacturing, carbon regulation, consumer behavior, and blockchain technology influence recyclers' investment decisions and manufacturers' recycling model selection. Key findings reveal that: the remanufactured product price show a positive correlation with emission reduction level, the eco-conscious consumer ratio, consumers' low-carbon awareness, and the acceptance of remanufactured goods. Under the three recycling models, the party with weaker channel convenience consistently offers higher recycling price but inferior privacy protection technologies compared to competitors. Consumers' perception of channel inconvenience differentially impacts entities across various recycling models. When the perceived inconvenience of the retailer's channel is relatively low, the economic and environmental benefits are the greatest when both retailers and third parties are involved. When the cost of privacy protection is low, retailers and third parties can obtain more economic and environmental benefits by simultaneously introducing blockchain. This research enhances the understanding of privacy protection and blockchain technology within electronic product closed-loop supply chains, providing valuable insights to advance e-waste recycling initiatives and support the transition towards a low-carbon circular economy.</t>
  </si>
  <si>
    <t>Yang, Jianhua/PQV-9084-2026</t>
  </si>
  <si>
    <t>1435-246X</t>
  </si>
  <si>
    <t>1613-9178</t>
  </si>
  <si>
    <t>10.1007/s10100-025-00995-8</t>
  </si>
  <si>
    <t>WOS:001587572200001</t>
  </si>
  <si>
    <t>Alegbeleye, O; Kassie, GT; Ndour, A; Adamseged, ME; Athukorala, A</t>
  </si>
  <si>
    <t>Alegbeleye, Oluwadara; Kassie, Girma T.; Ndour, Adama; Adamseged, Muluken Elias; Athukorala, Aruni</t>
  </si>
  <si>
    <t>Potential impacts of carbon pricing on vegetable cold chains</t>
  </si>
  <si>
    <t>FUTURE FOODS</t>
  </si>
  <si>
    <t>The urgent need to address climate change has prompted growing interest in carbon pricing mechanisms as tools for reducing emissions in food systems. This review explores how carbon pricing may affect vegetable cold chains, which rely on energy-intensive, temperature-controlled networks essential for preserving produce quality and limiting food loss. While carbon pricing can serve as an incentive for adopting energy-efficient technologies, renewable energy, and sustainable logistics practices, its implementation can also trigger adverse consequences. These include increased operational costs, potential disruptions to supply chains, food affordability challenges, and public health concerns, particularly for vulnerable populations. Drawing on global evidence, this paper discusses both the enabling conditions for carbon pricing (when applied to vegetable cold chains or relevant stages within them) to deliver environmental benefits and the risks of socio-economic trade-offs, including potential impacts on labour, equity, and food security. Mitigation strategies, such as revenue recycling, targeted subsidies, and hybrid policy designs, are also discussed. Overall, the paper emphasizes the need for carefully designed carbon pricing mechanisms tailored to the structure of vegetable cold chains to ensure a just and effective transition to low-carbon food systems.</t>
  </si>
  <si>
    <t>Girma, Kassie/F-9179-2017</t>
  </si>
  <si>
    <t>2666-8335</t>
  </si>
  <si>
    <t>100771</t>
  </si>
  <si>
    <t>10.1016/j.fufo.2025.100771</t>
  </si>
  <si>
    <t>WOS:001588914100001</t>
  </si>
  <si>
    <t>Song, HY; Hou, GS; Jiang, LW</t>
  </si>
  <si>
    <t>Song, Hongyu; Hou, Guisheng; Jiang, Liwen</t>
  </si>
  <si>
    <t>Optimal decisions and coordination of power battery closed-loop supply chain considering fairness concerns and government subsidies</t>
  </si>
  <si>
    <t>The expansion of new energy vehicles has precipitated a significant increase in end-of-life batteries, highlighting critical battery lifecycle management issues. While current studies explore various dimensions of power battery recycling, the interaction between government interventions and the one-to-many and many-to-one fairness concerns remains underexplored, particularly with the third-party recycler mode. This gap hinders effective policy-making and management strategies. Therefore, we consider different fairness concerns under cap-and-trade regulation and recycling subsidies, establishing four game models incorporating the battery manufacturer (M), the vehicle manufacturer (V), and the third-party recycler (3P). Then, we analyze the corresponding pricing, marketing, and recycling strategies. To address fairness-related inefficiencies, we propose two coordination strategies. First, our results indicate that recycling quantity and member profits are significantly influenced by fairness concerns. Compared to the model without fairness concerns, M's fairness concerns reduce recycling quantity, member profits, and overall supply chain profit, while V's and 3P's fairness concerns increase their own profits but decrease M's profit. Second, we reveal that the effectiveness of government subsidies is moderated by members' fairness concerns. Furthermore, the "improved two-part tariff" contract and the "joint revenue and cost-sharing" contract can coordinate the closed-loop supply chain with fairness concerns, achieving a Pareto improvement in recycling quantity, profit, and utility. Finally, robustness tests show that asymmetric fairness concerns do not affect the main conclusions, while endogenous government subsidies significantly impact social welfare. These findings support circular supply chain management by revealing key interactions among government interventions, fairness concerns, and supply chain performance.</t>
  </si>
  <si>
    <t>206</t>
  </si>
  <si>
    <t>104521</t>
  </si>
  <si>
    <t>10.1016/j.tre.2025.104521</t>
  </si>
  <si>
    <t>WOS:001626185100009</t>
  </si>
  <si>
    <t>Feng, YH; Xia, XH; Yin, XY; Wang, L; Zhang, ZL</t>
  </si>
  <si>
    <t>Feng, Yanhua; Xia, Xuhui; Yin, Xinyi; Wang, Lei; Zhang, Zelin</t>
  </si>
  <si>
    <t>Pricing and Coordination of Remanufacturing Supply Chain with Government Participation considering Consumers' Preferences and Quality of Recycled Products</t>
  </si>
  <si>
    <t>COMPLEXITY</t>
  </si>
  <si>
    <t>Remanufacturing has become an important way to realize sustainable development strategy. For remanufacturing closed-loop supply chain under different circumstances, many factors are considered, such as consumers' different preferences for the purchase and payment of remanufactured products and the quality of recycled products. In this study, three models are presented for supply chain system, including a manufacturer lead and a retailer recycle. While nongovernment participation and non-supply-chain coordination are considered in model I, model II has government participation but non-supply-chain coordination, and model III has both government participation and supply chain coordination. The equilibrium decisions are derived for each model using the game-theoretic approach. The study found that consumers' preferences affect the pricing decisions of remanufactured products. When consumers' willingness to buy and pay for remanufactured products is close to that of new products, the total profit of the supply chain will significantly increase; the quality of recycled products will also influence the pricing decisions of new/remanufactured products, which in turn will affect the market demand for products. Government participation is conducive to encouraging manufacturer, retailer, and consumers to actively participate in the recycling and remanufacturing activities of used products. Supply chain coordination contracts can further enhance the role of the consumer market and promote the implementation of government policies. Under certain conditions, revenue sharing contract coordination can significantly increase the total profit of the supply chain system. The research conclusions have certain reference value for the coordination among the nodes of the remanufacturing supply chain and the formulation of policies with government participation.</t>
  </si>
  <si>
    <t>zhang, zelin/I-4737-2015</t>
  </si>
  <si>
    <t>Yanhua, Feng/0000-0003-3834-0871</t>
  </si>
  <si>
    <t>1076-2787</t>
  </si>
  <si>
    <t>1099-0526</t>
  </si>
  <si>
    <t>MAR 9 2022</t>
  </si>
  <si>
    <t>8378639</t>
  </si>
  <si>
    <t>10.1155/2022/8378639</t>
  </si>
  <si>
    <t>WOS:000773073400001</t>
  </si>
  <si>
    <t>Casey, B; Gray, WB; Linn, J; Morgenstern, RD</t>
  </si>
  <si>
    <t>Casey, Brendan; Gray, Wayne B.; Linn, Joshua; Morgenstern, Richard D.</t>
  </si>
  <si>
    <t>How Does State-Level Carbon Pricing in the United States Affect Industrial Competitiveness?</t>
  </si>
  <si>
    <t>Pricing carbon emissions from an individual jurisdiction may harm the competitiveness of local firms, causing the leakage of emissions and economic activity to other regions. Past research concentrates on national carbon prices, but the impacts of subnational carbon prices could be more severe due to the openness of regional economies. We specify a flexible model to capture competition between a plant in a state with electric sector carbon pricing and plants in other states or countries without such pricing. Treating energy prices as a proxy for carbon prices, we estimate model parameters using confidential plant-level Census data, 1982-2011. We simulate the effects on manufacturing output and employment of carbon prices covering the Regional Greenhouse Gas Initiative (RGGI) in the Northeast and Mid-Atlantic regions. A carbon price of $10 per metric ton on electricity output reduces employment in the regulated region by 2.1 percent, and raises employment in nearby states by 0.8 percent, although these estimates do not account for revenue recycling in the RGGI region that could mitigate these employment changes. The effects on output are broadly similar. National employment falls just 0.1 percent, suggesting that domestic plants in other states as opposed to foreign facilities gain the most jobs from state or regional carbon pricing.</t>
  </si>
  <si>
    <t>Gray, Wayne/AAW-3931-2021; Linn, Joshua/AAT-6768-2021</t>
  </si>
  <si>
    <t>Gray, Wayne/0000-0002-0113-4946</t>
  </si>
  <si>
    <t>NOV 2022</t>
  </si>
  <si>
    <t>83</t>
  </si>
  <si>
    <t>831</t>
  </si>
  <si>
    <t>860</t>
  </si>
  <si>
    <t>10.1007/s10640-022-00711-z</t>
  </si>
  <si>
    <t>WOS:000835622400001</t>
  </si>
  <si>
    <t>Liu, BY; Holmbom, M; Segerstedt, A; Chen, WD</t>
  </si>
  <si>
    <t>Liu, Biyu; Holmbom, Martin; Segerstedt, Anders; Chen, Weida</t>
  </si>
  <si>
    <t>Effects of carbon emission regulations on remanufacturing decisions with limited information of demand distribution</t>
  </si>
  <si>
    <t>Policy-makers are developing regulation policies to drive down carbon emissions from industries. Independent remanufacturers (IRs), which remanufacture recycled products/components/parts, must manage and evaluate economic costs generated by the production under future carbon emission regulations. We present three optimisation models to determine the remanufacturing quantity that maximises the total profits under three common carbon emission regulation policies: (a) mandatory carbon emissions capacity, (b) carbon tax and (c) cap and trade. These models include sales revenue, remanufacturing cost, disposal cost, inventory holding cost, shortage cost and carbon emission cost. The max-min approach is used to solve the models, which assume limited information on demand distribution. We investigate how the three regulation policies affect remanufacturing decision-making for IRs and we also solve some numerical examples where we vary the magnitudes of incentives, penalties and stringency of constraints to provide implications to policy-makers. The results indicate that remanufacturers should aim to improve yield rate to maximise the profit irrespective of the implemented carbon emissions policy. Policy-makers should prefer the carbon tax policy, if any of the other two policies must be performed, a remanufacturing discount such as a higher carbon emission cap or lower penalty should be implemented to better promote the development of remanufacturers.</t>
  </si>
  <si>
    <t>Segerstedt, Anders/HNQ-5904-2023; Chen, Weida/AFR-6401-2022</t>
  </si>
  <si>
    <t>Chen, Weida/0000-0002-8552-4772; Segerstedt, Anders/0000-0002-1173-6713; Liu, Biyu/0000-0003-4637-0376</t>
  </si>
  <si>
    <t>JAN 17 2015</t>
  </si>
  <si>
    <t>2015</t>
  </si>
  <si>
    <t>53</t>
  </si>
  <si>
    <t>532</t>
  </si>
  <si>
    <t>10.1080/00207543.2014.957875</t>
  </si>
  <si>
    <t>WOS:000345001500012</t>
  </si>
  <si>
    <t>Ricci, O</t>
  </si>
  <si>
    <t>Ricci, Olivia</t>
  </si>
  <si>
    <t>Providing adequate economic incentives for bioenergies with CO2 capture and geological storage</t>
  </si>
  <si>
    <t>ENERGY POLICY</t>
  </si>
  <si>
    <t>Knowing that carbon capture and storage (CCS) could play an important role in reducing emissions, it is important to have a good understanding of this role and the importance of environmental policies to support carbon capture and geological storage from bioenergies (BECCS). To date CCS technologies are not deployed on a commercial level, and policy instruments should be used to provide incentives to firms to use these technologies to reduce pollution. The aim of this paper is to compare the cost-efficiency of several incentive-based instruments (a fossil fuel tax, an emissions tax, a cap and trade system, and a subsidy on captured emissions) needed to spur the adoption of CCS and BECCS, using a dynamic general equilibrium model. This type of model has become the standard for assessing economy-wide impacts of environmental and technological policies. The study shows that BECCS will be deployed only if a specific subsidy per unit of biomass emissions captured with a CCS technology is available. We show also that the two most cost-efficient instruments for achieving a given emissions reduction target are a specific subsidy that rewards captured emissions and a carbon tax whose revenues are recycled to subsidize BECCS. (C) 2012 Elsevier Ltd. All rights reserved.</t>
  </si>
  <si>
    <t>ricci, olivia/0000-0002-9715-9143</t>
  </si>
  <si>
    <t>0301-4215</t>
  </si>
  <si>
    <t>1873-6777</t>
  </si>
  <si>
    <t>MAY 2012</t>
  </si>
  <si>
    <t>44</t>
  </si>
  <si>
    <t>362</t>
  </si>
  <si>
    <t>373</t>
  </si>
  <si>
    <t>10.1016/j.enpol.2012.01.066</t>
  </si>
  <si>
    <t>WOS:000302848700034</t>
  </si>
  <si>
    <t>Wu, DD; Ding, H; Cheng, Y</t>
  </si>
  <si>
    <t>Wu, Dandan; Ding, Hao; Cheng, Yang</t>
  </si>
  <si>
    <t>How does environmental policy affect operations and supply chain management: A literature review</t>
  </si>
  <si>
    <t>Governments in many countries actively carry out various policies to tackle pollution problems sourced from operations and supply chain activities, aiming at reducing adverse environmental impact and promoting sustainable development. This study provides a comprehensive and well-structured review of research on operations and supply chain management within the context of environmental policy. Specifically, this study meticulously identifies 137 papers and presents the descriptive results of a bibliometric analysis on these papers. Afterwards, using a well-defined framework encompassing three types of policies and various levels of operational and supply chain management, the identified papers are further classified. For each classification, content analyses are conducted accordingly, delving into the diverse concerns and contributions of the reviewed papers from the perspectives of pricing, production planning, inventory and technology management, coordination and competition, recycling and remanufacturing activities, transportation decisions, and network design. Three aspects of sustainability performance are also considered in the analyses. Finally, this study provides future research directions from seven perspectives: research methodology, forms of regulation, dynamic games, types of contracts, sustainable target management, green behavior of supply chain members, and investment constraints. These insights in turn inform the development of policies and decision-making processes related to environmental sustainability.</t>
  </si>
  <si>
    <t>Wu, Dandan/KLE-1231-2024; ding, haopeng/OYF-5676-2025</t>
  </si>
  <si>
    <t>Cheng, Yang/0000-0002-3082-4890; Wu, Dandan/0009-0008-5024-5141; Cheng, Yang/0000-0001-8283-5834</t>
  </si>
  <si>
    <t>197</t>
  </si>
  <si>
    <t>110580</t>
  </si>
  <si>
    <t>10.1016/j.cie.2024.110580</t>
  </si>
  <si>
    <t>WOS:001320800200001</t>
  </si>
  <si>
    <t>Mishra, M; Hota, SK; Ghosh, SK; Sarkar, B</t>
  </si>
  <si>
    <t>Mishra, Mowmita; Hota, Soumya Kanti; Ghosh, Santanu Kumar; Sarkar, Biswajit</t>
  </si>
  <si>
    <t>Controlling Waste and Carbon Emission for a Sustainable Closed-Loop Supply Chain Management under a Cap-and-Trade Strategy</t>
  </si>
  <si>
    <t>MATHEMATICS</t>
  </si>
  <si>
    <t>Considering the increasing number of end-of-life goods in the context of improving the ambience and health of a population and their destructive impacts, recycling strategies are important for industries and organizations. In this article, a closed-loop supply chain management containing a single manufacturer, a single retailer, and a third party is introduced in which the manufacturer first propagates newly finished goods and then dispatches some of the finished goods to the retailer considering a single-setup multi-delivery policy. Due to shipping, carbon emission is taken into account as well as a carbon emission trading mechanism to curb the amount of carbon emissions by the retailer. For recycling through collection, inspection, remanufacturing, and landfill, the third party collects the end-of-life goods from its customers and ships perfect products to the manufacturer after a two-stage inspection. In this model, major sources of emissions such as shipping, replenishment orders, and inventory have been taken care of. The minimizing of the total cost relating to the container capacity, shipment numbers, and replenishment cycle length is the main objective of the closed-loop supply chain management for making the system more profitable. Expository numerical explorations, analysis, and graphic representations are conferred to elucidate this model, and it is observed that this model saves some percentage of the cost compared to the existing literature.</t>
  </si>
  <si>
    <t>Hota, Soumya Kanti/AAM-3790-2020; Sarkar, Biswajit/E-9458-2012</t>
  </si>
  <si>
    <t>Hota, Soumya Kanti/0000-0002-5433-8686; Sarkar, Biswajit/0000-0002-6583-8416</t>
  </si>
  <si>
    <t>2227-7390</t>
  </si>
  <si>
    <t>APR 2020</t>
  </si>
  <si>
    <t>8</t>
  </si>
  <si>
    <t>466</t>
  </si>
  <si>
    <t>10.3390/math8040466</t>
  </si>
  <si>
    <t>WOS:000531824100006</t>
  </si>
  <si>
    <t>Lin, BQ; Jia, ZJ</t>
  </si>
  <si>
    <t>Lin, Boqiang; Jia, Zhijie</t>
  </si>
  <si>
    <t>Is emission trading scheme an opportunity for renewable energy in China? A perspective of ETS revenue redistributions</t>
  </si>
  <si>
    <t>APPLIED ENERGY</t>
  </si>
  <si>
    <t>Emission Trading Scheme (ETS) and renewable energy generation are emission reduction methods in most countries in the world. However, few studies have focused on the impact of ETS on renewable energy. The question is, can carbon trading promote renewable energy generation? This paper first analyzes different distribution strategies of ETS revenue by applying dynamic recursive computable general equilibrium model with multi-sectors. Practical scenarios and better options of distribution of ETS revenue by a comprehensive evaluation based on entropy weight method are proposed. The results show that ETS with no subsidy to renewable will reduce the demand for energy, increase the cost of renewable energy sources and decrease the generation. ETS will be the spring of renewable energy generation when most of the revenue is used for all kinds of renewable energy sources, instead of some of them. The growth of renewable energy generation is also substantial. It is necessary that a small portion of ETS revenue should be used to subsidize residents to reduce the gap between the rich and the poor. If this income is used for government investment and consumption, it will also help to mitigate economic losses, which is caused by the direction of investment by the Chinese government.</t>
  </si>
  <si>
    <t>Lin, Boqiang/G-3960-2010; Jia, Zhijie/E-7122-2017</t>
  </si>
  <si>
    <t>Lin, Boqiang/0000-0002-1308-400X; Jia, Zhijie/0000-0003-4569-5558</t>
  </si>
  <si>
    <t>0306-2619</t>
  </si>
  <si>
    <t>1872-9118</t>
  </si>
  <si>
    <t>APR 1 2020</t>
  </si>
  <si>
    <t>263</t>
  </si>
  <si>
    <t>114605</t>
  </si>
  <si>
    <t>10.1016/j.apenergy.2020.114605</t>
  </si>
  <si>
    <t>WOS:000520402600040</t>
  </si>
  <si>
    <t>Duan, CQ; Yao, FM; Zhang, QW; Wang, JL; Wang, Y</t>
  </si>
  <si>
    <t>Duan, Caiquan; Yao, Fengmin; Zhang, Qiwen; Wang, Jiali; Wang, Ying</t>
  </si>
  <si>
    <t>Carbon Reduction Subsidy, Remanufacturing Subsidy or Consumer Recycling Subsidy? A Low-Carbon Closed-Loop Supply Chain Network Operation Decision</t>
  </si>
  <si>
    <t>SYSTEMS</t>
  </si>
  <si>
    <t>To promote carbon emission reduction and resource reuse, this study is devoted to studying the impact of government subsidy policies on the operation decision of a low-carbon closed-loop supply chain system. In the production stage, governments can use carbon reduction subsidies and remanufacturing subsidies to reduce the green behavior costs of manufacturers; in the recycling stage, governments can use consumer recycling subsidies to increase the recycling willingness of consumers. In this study, we introduce these three subsidy policies into the target function of the subsidized members. Using the Nash non-cooperative game and variational inequality, we developed a low-carbon supply chain network equilibrium model to examine the impact of subsidy policies on the system operation decision. The results show that, under the three subsidy policies, raising the subsidy level can help to improve the recycling rate, promote the reduction in carbon emissions and improve the profits of retailers; however, manufacturers' incomes increase only when the carbon reduction subsidy level is below a certain threshold. Notably, under the coexistence of three subsidy policies, the carbon reduction subsidy policy has a more significant impact on the system. Finally, the numerical results show that, when the subsidy level is higher than six, although the increase in carbon reduction subsidy level leads to a decrease in the profits of manufacturers, this policy has the best contribution to the environmental benefits of the system. Our results can serve as guidelines for governments when designing the optimal subsidy programs to achieve the ultimate goal of establishing an environmentally friendly supply chain network system.</t>
  </si>
  <si>
    <t>Yao, Fengmin/IAO-9470-2023; Wang, Jiali/IQU-4490-2023; Duan, Caiquan/AAE-2515-2019</t>
  </si>
  <si>
    <t>Yao, Fengmin/0000-0002-0720-516X; Duan, Caiquan/0000-0002-4607-3219</t>
  </si>
  <si>
    <t>2079-8954</t>
  </si>
  <si>
    <t>126</t>
  </si>
  <si>
    <t>10.3390/systems11030126</t>
  </si>
  <si>
    <t>WOS:000958158300001</t>
  </si>
  <si>
    <t>Cheng, SS; Zhang, F; Chen, XZ</t>
  </si>
  <si>
    <t>Cheng, Susu; Zhang, Fan; Chen, Xuezhao</t>
  </si>
  <si>
    <t>Optimal contract design for a supply chain with information asymmetry under dual environmental responsibility constraints</t>
  </si>
  <si>
    <t>EXPERT SYSTEMS WITH APPLICATIONS</t>
  </si>
  <si>
    <t>Under dual constraints of green production responsibility and recycling responsibility, the optimal contract between upstream and downstream firms is crucial to achieve low-carbon development, but information asymmetry poses a great challenge to the above contract design. Based on Stackelberg game theory, this paper develops a contract model in a supply chain with information asymmetry under dual environmental responsibility constraints, in which the producer invests in green technology while the retailer exerts green marketing efforts. The paper aims to explore how the producer designs optimal contracts under the different information structures to improve environmental performance while ensuring profitability. Results indicate that: (i) in the full information scenario, the two-part optimal contract makes the decentralized supply chain to achieve the same channel profit and carbon emissions as the centralized scenario. (ii) In the information asymmetry scenario, the producer should design differentiated contract configurations for different types of retailers to eliminate double marginalization. That is, the producer designs low wholesale price and high side payment for the high-type retailer, which enables the producer to earn high profit with low carbon emissions and makes the retailer to obtain additional information profit. While under some conditions, the producer considers the possibility of terminating cooperation with the retailer of low-type, as such a cutoff policy not only guarantees the profitability of the channel members but also improves environmental performance. Furthermore, the impact of some key factors on firms' decisions, profits, and equilibrium carbon emissions is summarized to guide management decisions.</t>
  </si>
  <si>
    <t>Chen, Xuan/ISS-4649-2023; Zhang, Fan/NRY-1523-2025</t>
  </si>
  <si>
    <t>CHENG, Susu/0000-0001-8742-8605</t>
  </si>
  <si>
    <t>0957-4174</t>
  </si>
  <si>
    <t>1873-6793</t>
  </si>
  <si>
    <t>MAR 1 2024</t>
  </si>
  <si>
    <t>237</t>
  </si>
  <si>
    <t>A</t>
  </si>
  <si>
    <t>121466</t>
  </si>
  <si>
    <t>10.1016/j.eswa.2023.121466</t>
  </si>
  <si>
    <t>WOS:001076000300001</t>
  </si>
  <si>
    <t>Ren, HT; Zhou, WJ; Makowski, M; Yan, HB; Yu, YD; Ma, TJ</t>
  </si>
  <si>
    <t>Ren, Hongtao; Zhou, Wenji; Makowski, Marek; Yan, Hongbin; Yu, Yadong; Ma, Tieju</t>
  </si>
  <si>
    <t>Incorporation of life cycle emissions and carbon price uncertainty into the supply chain network management of PVC production</t>
  </si>
  <si>
    <t>Emissions trading schemes have been widely implemented by many countries to enforce the "cap and trade" concept for mitigating CO2 emissions. Thus, the carbon price influences the manufacturing costs in all stages of production, recycling, and disposal. Consideration of the carbon price is especially important for the economic efficiency of the downstream manufacturing sectors, such as in plastic product manufacturing, to substantially reduce their costs through the design and management of networked supply chains, which results in purchasing feedstocks from different technological routes, as well as choosing plants, warehouses and various transportation modes with diverse CO2 emission intensities. Supporting the decision-making in such situations requires the integration of life cycle analysis and networked supply chain management methodologies with an analysis of the carbon-market uncertainties. Such approaches have not been sufficiently quantified in the existing literature. This study presents a stochastic mixed-integer linear programming model developed for polyvinyl chloride pipe manufacturing in China, which is used to evaluate the effects of the life cycle emissions of procurement on the whole supply chain under carbon market uncertainty. Our results illustrate that the carbon market uncertainty would not only significantly influence the carbon-intensive production sectors but also the downstream manufacturing sectors. The five scenarios with carbon price variation exhibit distinctively different choices in procurement and supply chain configurations, as well as in their performances regarding total emissions and associated costs.</t>
  </si>
  <si>
    <t>yan, hongbin/HHM-2605-2022; Ren, Hongtao/AAB-8383-2019; Makowski, Marek/MFL-8152-2025; Yu, Yadong/JED-3250-2023; Zhou, Wenji/JXM-7769-2024</t>
  </si>
  <si>
    <t>Ren, Hongtao/0000-0001-7896-4131; Makowski, Marek/0000-0002-6107-0972; Yu, Yadong/0000-0003-4144-0208; Zhou, Wenji/0000-0001-8355-8357</t>
  </si>
  <si>
    <t>MAY 2021</t>
  </si>
  <si>
    <t>300</t>
  </si>
  <si>
    <t>601</t>
  </si>
  <si>
    <t>620</t>
  </si>
  <si>
    <t>10.1007/s10479-019-03365-1</t>
  </si>
  <si>
    <t>WOS:000640575000013</t>
  </si>
  <si>
    <t>Dhanda, A; Mittal, M; Agarwal, D; Bachhish, M; Taleizadeh, AA</t>
  </si>
  <si>
    <t>Dhanda, Anil; Mittal, Mandeep; Agarwal, Divya; Bachhish, Megha; Taleizadeh, Ata Allah</t>
  </si>
  <si>
    <t>A three-echelon sustainable supply chain model for growing items with climate effects, carbon emissions, and delayed payments</t>
  </si>
  <si>
    <t>Growing-item supply chains, such as those for poultry and livestock, face increasing economic and environmental pressures resulting from carbon emissions, waste generation, and climate variability. This study develops a new economic order quantity model tailored for growing items within a three-echelon supply chain consisting of a farm, a processor, and a retailer. The model integrates circular economy practices through a circulatory index that captures the influence of feed recycling and waste repurposing on demand, incorporates carbon-reduction policies such as taxes and cap-and-trade, and embeds climate-dependent factors that affect both growth and product quality. The framework also includes delayed payments through a two-level trade credit mechanism to improve financial coordination. A climate-adjusted logistic growth function is employed to represent biological growth, while emissions from feeding, processing, and transportation are included in the cost structure. The objective is to maximize the expected total profit per unit time while reducing environmental impact, supporting responsible consumption, production, and climate-action goals. Numerical experiments show that improvements in the circulatory index increase demand and profitability, whereas higher temperatures reduce profits due to slower growth and greater defects. Sensitivity analysis highlights feeding costs and climate variables as the most influential parameters. The results provide practical insights for managers seeking to enhance profitability while transitioning to cleaner and more resilient supply chain practices.</t>
  </si>
  <si>
    <t>Taleizadeh, Ata/E-6859-2018; Dhanda, Anil/HZH-4274-2023; Mittal, Mandeep/ABH-6823-2020</t>
  </si>
  <si>
    <t>MAR 16 2026</t>
  </si>
  <si>
    <t>26</t>
  </si>
  <si>
    <t>41</t>
  </si>
  <si>
    <t>10.1007/s12351-025-01014-z</t>
  </si>
  <si>
    <t>WOS:001716530100008</t>
  </si>
  <si>
    <t>Dou, GW; Choi, TM</t>
  </si>
  <si>
    <t>Dou, Guowei; Choi, Tsan-Ming</t>
  </si>
  <si>
    <t>Does implementing trade-in and green technology together benefit the environment?</t>
  </si>
  <si>
    <t>EUROPEAN JOURNAL OF OPERATIONAL RESEARCH</t>
  </si>
  <si>
    <t>In modern manufacturing operations, green technologies are becoming increasingly popular. Meanwhile, trade-in programs are widely implemented to boost sales and enhance product recycling, which would benefit the environment. It is widely observed that many companies implement the green technology (GT) and trade-in program together. However, whether this act is always beneficial to the environment is unclear. We hence build analytical models to address this issue. To conduct a comprehensive study, we follow the real-world practices and examine both the retailer collects (R-collect) and manufacturer collects (M-collect) scenarios in a supply chain. Our results show that the "R-collect scheme with GT" leads to the highest levels of supply chain profit and social welfare but more emissions may be generated. Besides, implementing GT does not always benefit the environment in both R-collect and M-collect schemes. Considering from the environment perspective, we interestingly show that governments should advocate the "M-collect with GT" and "R-collect without GT" schemes. Correspondingly, to motivate both the supply chain and consumers to accept the advocated strategies, we characterize the carbon tax and subsidy based "carrot-and-stick" policy. We further show in the extended analyses that our main results hold under competition, when the emission abatement cost takes different analytical forms, and when consumers are environmentally conscious. (c) 2021 Elsevier B.V. All rights reserved.</t>
  </si>
  <si>
    <t>Choi, Tsan-Ming/HCH-1964-2022</t>
  </si>
  <si>
    <t>Choi, Tsan-Ming/0000-0003-3865-7043</t>
  </si>
  <si>
    <t>0377-2217</t>
  </si>
  <si>
    <t>1872-6860</t>
  </si>
  <si>
    <t>DEC 1 2021</t>
  </si>
  <si>
    <t>295</t>
  </si>
  <si>
    <t>517</t>
  </si>
  <si>
    <t>533</t>
  </si>
  <si>
    <t>10.1016/j.ejor.2021.03.017</t>
  </si>
  <si>
    <t>JUN 2021</t>
  </si>
  <si>
    <t>WOS:000668929800008</t>
  </si>
  <si>
    <t>Modak, I; Bardhan, S; Giri, BC</t>
  </si>
  <si>
    <t>Modak, Indrani; Bardhan, Sudarshan; Giri, Bibhas C.</t>
  </si>
  <si>
    <t>Random pricing, product collection, and green investment strategies in a closed-loop supply chain with price dependent demand and remanufacturing</t>
  </si>
  <si>
    <t>The most crucial parameter in all commercial ventures is a product's price. However, there always lies a gap between what the retailer wants to charge and what the market is prepared to pay. This propensity coupled with a few other variables lead to an unpredictability in the real price, which in turn causes a randomness in demand. In the modern world, environmental issues are also important. Investments in greening initiatives and product recycling are thought to have a good impact on environment in addition to raising corporate profits. Keeping these factors into consideration, the current study explores a two-period closed-loop integrated supply chain model while taking the product collection into account. Considering both the manufacturing and remanufacturing to be uncertain in nature, the authors first illustrate the traditional model without the environmental consideration, and extend the model considering the carbon emission &amp; carbon cap-and-trade policy under greening investment. The model is further elaborated through numerical examples to establish the business opportunity associated with the said investments. Green investment is seen to boost profit when carbon emission is considered, and remanufacturing is also seen to be a profit-enhancing option. The model suggests that the business manager should focus on market expansion, demand forecasting, and boosting customers' awareness towards using green products in general, and on efficient production process and cost control in a high-cost business scenario. Sensitivity analysis provides elaborate managerial insights on how the manager should take action with change in model parameters.</t>
  </si>
  <si>
    <t>Bardhan, Sudarshan/PMG-8611-2026; Giri, Bibhas Chandra/OAJ-2539-2025</t>
  </si>
  <si>
    <t>Modak, Indrani/0000-0002-7651-2585; Giri, Bibhas Chandra/0000-0001-7409-4896; Bardhan, Sudarshan/0000-0003-3120-2804</t>
  </si>
  <si>
    <t>JAN 1 2025</t>
  </si>
  <si>
    <t>486</t>
  </si>
  <si>
    <t>144523</t>
  </si>
  <si>
    <t>10.1016/j.jclepro.2024.144523</t>
  </si>
  <si>
    <t>WOS:001401663000001</t>
  </si>
  <si>
    <t>Liu, JK; Li, JY</t>
  </si>
  <si>
    <t>Liu, Jingkuang; Li, Jiayuan</t>
  </si>
  <si>
    <t>Economic benefit analysis of the carbon potential of construction waste resource management based on a simulation of carbon trading policy</t>
  </si>
  <si>
    <t>ENVIRONMENTAL SCIENCE AND POLLUTION RESEARCH</t>
  </si>
  <si>
    <t>The need for safer and cleaner environments for all humankind remains a topical issue that cannot be overemphasized. To provide an updated perspective, this study analyzes the carbon potential of construction waste resource management based on carbon trading policy. In this study, the system dynamics principle was used to establish a carbon potential model of construction and demolition waste (C &amp; DW) resource treatment by taking the regeneration project of Xiancun Village as an example. The results showed that the use of construction waste for recycling and resource treatment can generate enormous opportunities to reduce carbon emission. The implementation of the carbon trading policy can create significant benefits in terms of reducing carbon emission, while the total reduction of carbon emission in the baseline scenario can reach 100.66% when compared to the scenario without a carbon trading policy. Moreover, the findings shows that the combination of the carbon trading policy of "carbon price + free allowance ratio" can improve the return on investment of resource utilization companies and the carbon reduction benefits of the combined policy are greater than those of the single policy, but only if the level of the carbon price or free allowance ratio in the combined policy is accepted by the carbon trading subjects. The results of this research contribute to the theory of construction waste resourceization management, provide the theoretical basis for government departments to introduce carbon reduction policies for construction waste resourceization, and provide guidance for the management of companies' carbon reduction.</t>
  </si>
  <si>
    <t>Liu, Jingkuang/0000-0001-6542-470X</t>
  </si>
  <si>
    <t>0944-1344</t>
  </si>
  <si>
    <t>1614-7499</t>
  </si>
  <si>
    <t>36</t>
  </si>
  <si>
    <t>85986</t>
  </si>
  <si>
    <t>86009</t>
  </si>
  <si>
    <t>10.1007/s11356-023-28417-9</t>
  </si>
  <si>
    <t>JUL 2023</t>
  </si>
  <si>
    <t>37395881</t>
  </si>
  <si>
    <t>WOS:001022818100003</t>
  </si>
  <si>
    <t>Nidhi, MB; Pillai, VM</t>
  </si>
  <si>
    <t>Nidhi, M. B.; Pillai, V. Madhusudanan</t>
  </si>
  <si>
    <t>Product disposal penalty: Analysing carbon sensitive sustainable supply chains</t>
  </si>
  <si>
    <t>The performance evaluation of sustainable supply chain considering economic, environment, and social performances is considered in this paper. We propose a mixed integer linear programming formulation for a closed loop supply chain (CLSC) which operates under carbon cap and trading, material recovery and reuse, and disposal penalty. Environmental sustainability considering carbon emission and the social sustainability considering reusability are the important features of the proposed model. In a forward supply chain (FSC), the recoverability and reusability aspects are absent. The integration of backward supply chain to FSC leads to total costs becoming higher; as a result the integration is not deliberated as a good alternative. Employing the proposed model, the effect of economic, environmental and social costs on both FSC and CISC are analysed for a single period. We found that the CLSC is economical as well as sustainable if an appropriate level of penalty is imposed for not recovering the material for reuse. The sustainability of the supply chain depends on the collection of post consumed goods (PCG) from the customer zones and the subsequent recovery of materials. An index is proposed to reflect the sustainability of the supply chain. The penalty cost is an important aspect for implementing 'extended producer responsibility' (EPR). If organisations do not adhere to EPR scheme, government/controlling agency can levy a tax (penalty) to ensure collection of PCG for recycling and reuse. The proposed model helps to determine such a penalty cost. We also applied CISC model to a real-life blood bag supply chain to validate its performance.</t>
  </si>
  <si>
    <t>M B, Nidhi/GLT-5556-2022; Pillai, V. Madhusudanan/AAE-8493-2020</t>
  </si>
  <si>
    <t>M B, Nidhi/0000-0002-3002-8835; Pillai, V. Madhusudanan/0000-0001-6702-7994</t>
  </si>
  <si>
    <t>FEB 2019</t>
  </si>
  <si>
    <t>128</t>
  </si>
  <si>
    <t>10.1016/j.cie.2018.11.059</t>
  </si>
  <si>
    <t>WOS:000458221900002</t>
  </si>
  <si>
    <t>Shu, T; Wu, QN; Chen, S; Wang, SY; Lai, KK; Yang, HL</t>
  </si>
  <si>
    <t>Shu, Tong; Wu, Qianni; Chen, Shou; Wang, Shouyang; Lai, Kin Keung; Yang, Honglin</t>
  </si>
  <si>
    <t>Manufacturers'/remanufacturers' inventory control strategies with cap-and-trade regulation</t>
  </si>
  <si>
    <t>The increased awareness of the need for protecting the environment and policies relating to carbon emissions has resulted in manufacturers viewing carbon emissions as one of the most critical elements affecting production decisions. As a gradually maturing production form, remanufacturing plays an increasingly pivotal role in economy, environment and society. This paper extends the classical EOQ model, considers carbon emissions in (re)manufacturing activities and product transportation and builds an inventory cost model with carbon constraints. The optimal batch and quantity of manufacturing/remanufacturing and the frequency of cyclic remanufacturing are derived with and without carbon constraints through analysis of the model. At the same time, this paper investigates the impact of carbon emissions quota and its trade prices, remanufacturing ratio and different means of transportation on manufacturers' decisions. The examples show that the batch size of manufacturing and remanufacturing is identical within the period with carbon constraints; the batch size of manufacturing without carbon constraints is less than remanufacturing with carbon constraints; the results are just the opposite in terms of the batch of remanufacturing and the number of remanufactured products. In other words, the (re)manufacturers' total cost and carbon emissions with carbon constraints are lower than those without carbon constraints. Starting from the real-life circumstances, this article considers manufacturers' total cost with imperfect remanufacturing, varied means of transportation, carbon quota and its trade, which have not been taken into account previously, the manufacturer's optimal decisions are derived. Meanwhile, the analysis of carbon quota can provide some insights for governments and enterprises in terms of carbon emissions rights allocation. (C) 2017 Elsevier Ltd. All rights reserved.</t>
  </si>
  <si>
    <t>Lai, Kin Keung/AEB-4278-2022</t>
  </si>
  <si>
    <t>Wang, Shouyang/0000-0001-5773-998X</t>
  </si>
  <si>
    <t>AUG 15 2017</t>
  </si>
  <si>
    <t>159</t>
  </si>
  <si>
    <t>10.1016/j.jclepro.2017.05.021</t>
  </si>
  <si>
    <t>WOS:000403854200002</t>
  </si>
  <si>
    <t>Tang, KHD</t>
  </si>
  <si>
    <t>Tang, Kuok Ho Daniel</t>
  </si>
  <si>
    <t>Enhanced plastic economy: a perspective and a call for international action</t>
  </si>
  <si>
    <t>ENVIRONMENTAL SCIENCE-ADVANCES</t>
  </si>
  <si>
    <t>The worrying plastic pollution has led to global attention to control it and the emergence of a circular plastic economy. However, the current circular plastic economy seems to lean towards recycling of and energy recovery from plastics, and its implementation is widely varied. To ensure the effectiveness and uniformity of the plastic economy and learning from the successes and failures of the carbon economy, this article provides a perspective on an enhanced plastic economy to serve as or contribute to an international framework in mitigating plastic pollution. It deems that a separate international treaty or a treaty under the carbon economy to specifically address plastic pollution is beneficial as it promotes policy and legislative reforms in participating countries while providing more centralized policy support and instruments to operationalize regional plastic economy. More ambitious target-setting for the reduction of conventional plastic production and consumption, devoid of the excessive flexibility of the carbon economy encourages the development of a new market for green plastic substitutes and reduces carbon emissions from the lifecycle of conventional plastics. Economic instruments including taxes and incentivization of plastic substitutes, with or without plastic cap-and-trade are beneficial to the operationalization of an enhanced plastic economy, which could also contribute to reducing fossil fuel consumption and mitigating climate change. An international agreement to reduce mismanaged plastics through target-setting is another approach to control plastic pollution. The achievements of targets by participating countries can then be tracked through an established monitoring and reporting system, followed by adjustment of targets for improved effectiveness. The agreement could also address the transboundary movement of plastic waste to prohibit secretive diversion of the waste to developing countries.The current plastic circular economy lacks a uniform framework. It overfocuses on recycling, reuse and energy recovery. An enhanced plastic economy drives innovation and concerted effort in reducing plastic pollution and waste management.</t>
  </si>
  <si>
    <t>Tang, Kuok Ho Daniel/ITU-6707-2023</t>
  </si>
  <si>
    <t>2754-7000</t>
  </si>
  <si>
    <t>JUL 31 2023</t>
  </si>
  <si>
    <t>1011</t>
  </si>
  <si>
    <t>1018</t>
  </si>
  <si>
    <t>10.1039/d3va00057e</t>
  </si>
  <si>
    <t>WOS:001107606200001</t>
  </si>
  <si>
    <t>Feng, YT; Geng, Y; Zhao, G; Li, MY</t>
  </si>
  <si>
    <t>Feng, Yunting; Geng, Yong; Zhao, Ge; Li, Mengya</t>
  </si>
  <si>
    <t>Carbon Emission Constraint Policy in an OEM and Outsourcing Remanufacturer Supply Chain with Consumer Preferences</t>
  </si>
  <si>
    <t>Carbon emission reduction has been a consensus goal for most countries to achieve environmental sustainability. The use of carbon emission trading policies has been generally considered by the governments. Remanufacturing, as an effective way to reduce carbon emission, is incorporated together with the tool of carbon emission policy to construct a low-carbon supply chain in this paper. We analyze the carbon emission reduction and profit maximization problem among enterprises of original equipment manufacturers (OEMs) and their outsourcing remanufacturers, integrating the impact of the carbon emission constraint policy and the carbon market. Considering consumer preferences on low-carbon products and recycling rates of waste products, we construct a Stackelberg game model (dominated by the OEM) and analyze the impact of a carbon emission constraint policy on sales price, volume, carbon emission, and revenue of new and remanufactured products in the supply chain system. The results suggest that the upper bound set by the government on carbon emission for enterprises positively affects sales volume of new products and negatively affects sales prices of both products. Moreover, the discount rate of carbon emission constraint negatively affects sales volume of new products and positively affects sales prices of both products. Notably, the carbon emission constraint policy has impacts on the production decisions of both manufacturers on an economic scale. When the upper bound of carbon emission is equal to a certain threshold, the OEM could obtain the greatest revenue. The results provide a new perspective for the government to attain the goal of carbon emission reduction and not sacrifice economic growth. Managers in outsourcing remanufacturers and OEMs could also be implicated from our results to collaborate in allocating remanufacturing orders to achieve win-win opportunities between them.</t>
  </si>
  <si>
    <t>Geng, Yong/B-6310-2018; Zhao, Ge/GYU-4064-2022</t>
  </si>
  <si>
    <t>Geng, Yong/0000-0002-2284-1375; , Yunting/0000-0001-5895-1042; Li, Mengya/0000-0002-6605-4015; Zhao, Ge/0000-0002-4789-6946</t>
  </si>
  <si>
    <t>4653</t>
  </si>
  <si>
    <t>10.3390/ijerph19084653</t>
  </si>
  <si>
    <t>35457518</t>
  </si>
  <si>
    <t>WOS:000787972000001</t>
  </si>
  <si>
    <t>Xia, XQ; Chen, J; Wang, W; Wang, HJ</t>
  </si>
  <si>
    <t>Xia, Xiqiang; Chen, Jun; Wang, Wei; Wang, Haijie</t>
  </si>
  <si>
    <t>Impact of differentiated carbon taxes on remanufacturing mode selection</t>
  </si>
  <si>
    <t>In current remanufacturing supply chains, whether the original equipment manufacturer (OEM) independently engages in remanufacturing or delegating (authorizing or outsourcing) to a third-party remanufacturer (TPR) is influenced by the government's differentiated carbon tax. However, our understanding of the factors influencing the optimal choice among the three remanufacturing strategies (i.e., self-remanufacturing, authorizing remanufacturing, and outsourcing remanufacturing) is fairly limited. In particular, little attention has been paid to differentiated carbon taxes, which involve the government imposing a high carbon tax on new products and a low carbon tax on remanufactured products. To fill these gaps, this study develops game models that include an OEM and a TPR. Our analysis reveals four main findings. First, with the increase in carbon tax on new products, the price of both new and remanufactured products rises. By contrast, once the carbon tax on remanufactured products increases, only the price of remanufactured products rises. Second, when the carbon tax gap between new and remanufactured products is small and the ratio of environmental impact per unit of remanufactured products to that of new products is less than consumer preference, both outsourcing remanufacturing and selfremanufacturing could achieve a win-win situation in reducing environmental impact and enhancing consumer surplus. Third, regardless of the governments' setting of the differentiated carbon tax, the OEM, as a profitseeker, will decline the authorizing remanufacturing to expand profits in any case. Further, when the carbon tax gap between new and remanufactured products is less than a certain threshold, the optimal mode for the OEM is outsourcing remanufacturing, followed by self-remanufacturing. Fourth, our numerical analysis indicates that the carbon tax gap between new and remanufactured products plays a vital role in optimal remanufacturing strategy selection. Notably, both the recycling scale of wasted products and consumer preferences for remanufactured products should be taken into account when making an optimal remanufacturing selection.</t>
  </si>
  <si>
    <t>140</t>
  </si>
  <si>
    <t>107955</t>
  </si>
  <si>
    <t>10.1016/j.eneco.2024.107955</t>
  </si>
  <si>
    <t>OCT 2024</t>
  </si>
  <si>
    <t>WOS:001342213000001</t>
  </si>
  <si>
    <t>Zhu, XX; Ren, ML; Chu, W; Chiong, R</t>
  </si>
  <si>
    <t>Zhu, Xiaoxi; Ren, Minglun; Chu, Wei; Chiong, Raymond</t>
  </si>
  <si>
    <t>Remanufacturing subsidy or carbon regulation? An alternative toward sustainable production</t>
  </si>
  <si>
    <t>Remanufacturing has attracted much attention in recent years because of its potential to achieve sustainable production. Due to low consumer acceptance, however, the market size of remanufactured products remains small. There are different ways to promote remanufacturing, two of which being providing cash subsidy and imposing carbon regulation. Cash subsidy demonstrates the direct role of governments in promoting consumption of specific products, whereas carbon regulation indirectly promotes the manufacture of low-emission products through mandatory measures. In this paper, we study how these two intervention policies affect the demand for remanufactured products, firm profit and social welfare, taking total carbon emissions into consideration. We model a monopoly firm that sells both new and remanufactured products to capture the economic and environmental impacts of these policies. By comparing the two policies, we derive the closed form of regions or intervals that indicate which policy incurs higher remanufacturing output or lower total emission. Important findings obtained include: (1) The two policies may have different impacts on recycling economy - remanufacturing subsidy increases the consumption of remanufactured products, and this indicates that more obsolete products are collected and remanufactured; whereas carbon regulation only works when the remanufacturing acceptance level is high enough or when the unit carbon emission of remanufactured products is low enough. (2) Remanufacturing subsidy promotes profit, however, carbon regulation might hurt the firm's profit. On consumer surplus and social welfare, both policies show uncertain trends. (3) On the total carbon emission, a mandatory carbon tax can help to decrease it. However, remanufacturing subsidy works only when the remanufacturing acceptance level is high enough or when the unit carbon emission of new products is large enough. (C) 2019 Elsevier Ltd. All rights reserved.</t>
  </si>
  <si>
    <t>Chu, Wei/I-4486-2013</t>
  </si>
  <si>
    <t>Zhu, Xiaoxi/0000-0003-0015-7182; Chiong, Raymond/0000-0002-8285-1903</t>
  </si>
  <si>
    <t>DEC 1 2019</t>
  </si>
  <si>
    <t>239</t>
  </si>
  <si>
    <t>117988</t>
  </si>
  <si>
    <t>10.1016/j.jclepro.2019.117988</t>
  </si>
  <si>
    <t>WOS:000487237100109</t>
  </si>
  <si>
    <t>Wang, YT; Ji, XY; Lang, YT; Zhang, Z</t>
  </si>
  <si>
    <t>Wang, Yingtong; Ji, Xiaoyu; Lang, Yutong; Zhang, Zheng</t>
  </si>
  <si>
    <t>Supply chain network optimization of power battery based on the new EU Battery Regulation under uncertainty</t>
  </si>
  <si>
    <t>In pursuit of carbon neutrality, the European Union (EU) has launched a new Battery Regulation. China's power battery exports encounter formidable challenges, necessitating the optimization of power battery supply chain. This study innovatively distinguishes the heterogeneity of the domestic and foreign markets of power batteries, considers new indicators in the new Battery Regulation such as battery recycling rate and carbon footprint, and leverages blockchain technology to fulfill these requirements while optimizing the power battery supply chain network. Given the impact of carbon trading price fluctuations on supply chain profits, this study adopts the mean-variance model to address the uncertainty in carbon trading price. With the goal of maximizing supply chain utility, key new indicators in the new Battery Regulation are integrated into the constraints, and uncertain programming models are established to optimize the power battery supply chain network under both selfoperated recycling and mixed recycling. The models ensure that the product sold on foreign market has at least a certain percentage of recycled raw materials and that the carbon footprint of the product do not exceed a certain upper limit following the new Battery Regulation. Suppliers and recycling centers are optimized and the transportation decisions of the product are given. By conducting theoretical analysis on the mathematical properties of the supply chain network optimization model under self-operated and mixed recycling, this study gives the interplay between uncertain carbon trading price and recycling mode, examines the impact of key new indicators in the new Battery Regulation on the supply chain network, which provides a theoretical foundation for selecting an appropriate recycling model within the supply chain. The findings indicate that, the supply chain should opt for the most appropriate recycling mode according to the different mandatory recycling proportion in the new Battery Regulation. Specifically, a mixed recycling model is preferred when the mandatory recycling proportion is high, while a self-operated recycling model is chosen when mandatory recycling accounts for a low proportion. Secondly, uncertain factors such as carbon trading price have a great impact on the supply chain network structure. When the fluctuation in carbon trading prices is relatively stable, a mixed recycling model should be selected; while in the event of significant fluctuations in carbon trading prices, both domestic and foreign enterprises should consider adopting the self-operated recycling model. Finally, while the increasingly rigorous control over carbon footprint in the EU may diminish supply chain utility, the combined implementation of the new Battery Regulation and cap-and-trade has the potential to enhance supply chain efficiency and expedite progress towards carbon neutrality by optimizing the supply chain network structure.</t>
  </si>
  <si>
    <t>Lang, Yutong/0009-0006-7405-8530; zhang, zheng/0000-0002-3375-5915</t>
  </si>
  <si>
    <t>MAR 2025</t>
  </si>
  <si>
    <t>201</t>
  </si>
  <si>
    <t>110930</t>
  </si>
  <si>
    <t>10.1016/j.cie.2025.110930</t>
  </si>
  <si>
    <t>WOS:001425393900001</t>
  </si>
  <si>
    <t>Zand, F; Yaghoubi, S; Sadjadi, SJ</t>
  </si>
  <si>
    <t>Zand, Fatemeh; Yaghoubi, Saeed; Sadjadi, Seyed Jafar</t>
  </si>
  <si>
    <t>Impacts of government direct limitation on pricing, greening activities and recycling management in an online to offline closed loop supply chain</t>
  </si>
  <si>
    <t>Improving greening activities in manufacturing firms plays a major role in decreasing hazardous environmental impacts of the products and increasing social welfare (SW). This article considers a dyadic online to offline (O2O) closed loop supply chain (CLSC) composed of a manufacturer and a retailer for trading a single green product. Market demand is dependent on the products' selling price and green level. Using Stackelberg game, the manufacturer is responsible for greening activities and retailer sets the price of the products and recovers the end of life products which are bought through either online or offline channel. Then we formulate government direct limitation by determining certain thresholds for products' greening level. With the aim of maximizing SW, we analyze the effects of government anticipated greening activity on members' optimal decisions and profit. Moreover, the goal-seeking behavior of the government in the process of decision making is illustrated and optimal decisions and profits are compared under different cases. Through analyzing the results, it is concluded that government direct limitation on the green level of the products positively contributes to the amount of the collected used products. Moreover, the results show that this intervention policy is beneficial for the retailer since it increases the retailer's profit. On the other hand, the government should consider the positivity of the manufacturer's profit more seriously while decision making since this policy causes sudden drops in the manufacturer's profit in certain cases. In the proposed model, we also study the profit division of the members considering their risk attitude and bargaining power through asymmetrical Nash bargaining. To clarify this profit-sharing mechanism, we have provided its resulting improvement levels in the profit of the members and the whole supply chain (SC). Finally, the proposed model is justified by numerical examples. (C) 2019 Elsevier Ltd. All rights reserved.</t>
  </si>
  <si>
    <t>Yaghoubi, Saeed/T-1118-2018; Sadjadi, Seyed jafar/S-8969-2018</t>
  </si>
  <si>
    <t>Yaghoubi, Saeed/0000-0003-1218-9050; Sadjadi, Seyed jafar/0000-0002-9069-5453</t>
  </si>
  <si>
    <t>APR 1 2019</t>
  </si>
  <si>
    <t>215</t>
  </si>
  <si>
    <t>1327</t>
  </si>
  <si>
    <t>1340</t>
  </si>
  <si>
    <t>10.1016/j.jclepro.2019.01.067</t>
  </si>
  <si>
    <t>WOS:000459358300111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</si>
</sst>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Font="1">
      <alignment vertical="center"/>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3A%2F%2Fwww.webofscience.com%2Fwos%2Fwoscc%2Ffull-record%2FWOS%3A001512946100001" TargetMode="External"/><Relationship Id="rId98" Type="http://schemas.openxmlformats.org/officeDocument/2006/relationships/hyperlink" Target="http%3A%2F%2Fdx.doi.org%2F10.1108%2FAPJML-12-2024-1956" TargetMode="External"/><Relationship Id="rId97" Type="http://schemas.openxmlformats.org/officeDocument/2006/relationships/hyperlink" Target="https%3A%2F%2Fwww.webofscience.com%2Fwos%2Fwoscc%2Ffull-record%2FWOS%3A000598895400006" TargetMode="External"/><Relationship Id="rId96" Type="http://schemas.openxmlformats.org/officeDocument/2006/relationships/hyperlink" Target="https%3A%2F%2Fwww.webofscience.com%2Fwos%2Fwoscc%2Ffull-record%2FWOS%3A001595860100009" TargetMode="External"/><Relationship Id="rId95" Type="http://schemas.openxmlformats.org/officeDocument/2006/relationships/hyperlink" Target="http%3A%2F%2Fdx.doi.org%2F10.1007%2Fs40808-025-02652-0" TargetMode="External"/><Relationship Id="rId94" Type="http://schemas.openxmlformats.org/officeDocument/2006/relationships/hyperlink" Target="https%3A%2F%2Fwww.webofscience.com%2Fwos%2Fwoscc%2Ffull-record%2FWOS%3A000571823200008" TargetMode="External"/><Relationship Id="rId93" Type="http://schemas.openxmlformats.org/officeDocument/2006/relationships/hyperlink" Target="http%3A%2F%2Fdx.doi.org%2F10.1016%2Fjidepro.2020.122662" TargetMode="External"/><Relationship Id="rId92" Type="http://schemas.openxmlformats.org/officeDocument/2006/relationships/hyperlink" Target="https%3A%2F%2Fwww.webofscience.com%2Fwos%2Fwoscc%2Ffull-record%2FWOS%3A000325516300006" TargetMode="External"/><Relationship Id="rId91" Type="http://schemas.openxmlformats.org/officeDocument/2006/relationships/hyperlink" Target="http%3A%2F%2Fdx.doi.org%2F10.3138%2FCPP.39.Supplement2.S53" TargetMode="External"/><Relationship Id="rId90" Type="http://schemas.openxmlformats.org/officeDocument/2006/relationships/hyperlink" Target="https%3A%2F%2Fwww.webofscience.com%2Fwos%2Fwoscc%2Ffull-record%2FWOS%3A001476186200001" TargetMode="External"/><Relationship Id="rId9" Type="http://schemas.openxmlformats.org/officeDocument/2006/relationships/hyperlink" Target="https%3A%2F%2Fwww.webofscience.com%2Fwos%2Fwoscc%2Ffull-record%2FWOS%3A000434868800117" TargetMode="External"/><Relationship Id="rId89" Type="http://schemas.openxmlformats.org/officeDocument/2006/relationships/hyperlink" Target="http%3A%2F%2Fdx.doi.org%2F10.1007%2Fs11518-025-5644-1" TargetMode="External"/><Relationship Id="rId88" Type="http://schemas.openxmlformats.org/officeDocument/2006/relationships/hyperlink" Target="https%3A%2F%2Fwww.webofscience.com%2Fwos%2Fwoscc%2Ffull-record%2FWOS%3A001052020600001" TargetMode="External"/><Relationship Id="rId87" Type="http://schemas.openxmlformats.org/officeDocument/2006/relationships/hyperlink" Target="http%3A%2F%2Fdx.doi.org%2F10.1007%2Fs00500-023-09060-5" TargetMode="External"/><Relationship Id="rId86" Type="http://schemas.openxmlformats.org/officeDocument/2006/relationships/hyperlink" Target="https%3A%2F%2Fwww.webofscience.com%2Fwos%2Fwoscc%2Ffull-record%2FWOS%3A000744244100008" TargetMode="External"/><Relationship Id="rId85" Type="http://schemas.openxmlformats.org/officeDocument/2006/relationships/hyperlink" Target="http%3A%2F%2Fdx.doi.org%2F10.1016%2Fj.spc.2021.11.006" TargetMode="External"/><Relationship Id="rId84" Type="http://schemas.openxmlformats.org/officeDocument/2006/relationships/hyperlink" Target="https%3A%2F%2Fwww.webofscience.com%2Fwos%2Fwoscc%2Ffull-record%2FWOS%3A000604134500028" TargetMode="External"/><Relationship Id="rId83" Type="http://schemas.openxmlformats.org/officeDocument/2006/relationships/hyperlink" Target="http%3A%2F%2Fdx.doi.org%2F10.1016%2Fj.cie.2020.106892" TargetMode="External"/><Relationship Id="rId82" Type="http://schemas.openxmlformats.org/officeDocument/2006/relationships/hyperlink" Target="https%3A%2F%2Fwww.webofscience.com%2Fwos%2Fwoscc%2Ffull-record%2FWOS%3A001192370900001" TargetMode="External"/><Relationship Id="rId81" Type="http://schemas.openxmlformats.org/officeDocument/2006/relationships/hyperlink" Target="http%3A%2F%2Fdx.doi.org%2F10.3934%2FGF.2024006" TargetMode="External"/><Relationship Id="rId80" Type="http://schemas.openxmlformats.org/officeDocument/2006/relationships/hyperlink" Target="https%3A%2F%2Fwww.webofscience.com%2Fwos%2Fwoscc%2Ffull-record%2FWOS%3A001299656300001" TargetMode="External"/><Relationship Id="rId8" Type="http://schemas.openxmlformats.org/officeDocument/2006/relationships/hyperlink" Target="http%3A%2F%2Fdx.doi.org%2F10.3390%2Fijerph15040678" TargetMode="External"/><Relationship Id="rId79" Type="http://schemas.openxmlformats.org/officeDocument/2006/relationships/hyperlink" Target="http%3A%2F%2Fdx.doi.org%2F10.1016%2Fj.cor.2024.106803" TargetMode="External"/><Relationship Id="rId78" Type="http://schemas.openxmlformats.org/officeDocument/2006/relationships/hyperlink" Target="https%3A%2F%2Fwww.webofscience.com%2Fwos%2Fwoscc%2Ffull-record%2FWOS%3A001353825200001" TargetMode="External"/><Relationship Id="rId77" Type="http://schemas.openxmlformats.org/officeDocument/2006/relationships/hyperlink" Target="http%3A%2F%2Fdx.doi.org%2F10.1080%2F00207543.2024.2425777" TargetMode="External"/><Relationship Id="rId76" Type="http://schemas.openxmlformats.org/officeDocument/2006/relationships/hyperlink" Target="https%3A%2F%2Fwww.webofscience.com%2Fwos%2Fwoscc%2Ffull-record%2FWOS%3A000797946900010" TargetMode="External"/><Relationship Id="rId75" Type="http://schemas.openxmlformats.org/officeDocument/2006/relationships/hyperlink" Target="http%3A%2F%2Fdx.doi.org%2F10.1016%2Fj.cie.2022.108159" TargetMode="External"/><Relationship Id="rId74" Type="http://schemas.openxmlformats.org/officeDocument/2006/relationships/hyperlink" Target="https%3A%2F%2Fwww.webofscience.com%2Fwos%2Fwoscc%2Ffull-record%2FWOS%3A000920246700001" TargetMode="External"/><Relationship Id="rId73" Type="http://schemas.openxmlformats.org/officeDocument/2006/relationships/hyperlink" Target="http%3A%2F%2Fdx.doi.org%2F10.3389%2Ffenvs.2022.1088162" TargetMode="External"/><Relationship Id="rId72" Type="http://schemas.openxmlformats.org/officeDocument/2006/relationships/hyperlink" Target="https%3A%2F%2Fwww.webofscience.com%2Fwos%2Fwoscc%2Ffull-record%2FWOS%3A001392945800001" TargetMode="External"/><Relationship Id="rId71" Type="http://schemas.openxmlformats.org/officeDocument/2006/relationships/hyperlink" Target="http%3A%2F%2Fdx.doi.org%2F10.1016%2Fj.ijpe.2024.109477" TargetMode="External"/><Relationship Id="rId70" Type="http://schemas.openxmlformats.org/officeDocument/2006/relationships/hyperlink" Target="https%3A%2F%2Fwww.webofscience.com%2Fwos%2Fwoscc%2Ffull-record%2FWOS%3A001370185300001" TargetMode="External"/><Relationship Id="rId7" Type="http://schemas.openxmlformats.org/officeDocument/2006/relationships/hyperlink" Target="https%3A%2F%2Fwww.webofscience.com%2Fwos%2Fwoscc%2Ffull-record%2FWOS%3A000988785400023" TargetMode="External"/><Relationship Id="rId69" Type="http://schemas.openxmlformats.org/officeDocument/2006/relationships/hyperlink" Target="http%3A%2F%2Fdx.doi.org%2F10.1007%2Fs12351-024-00866-1" TargetMode="External"/><Relationship Id="rId68" Type="http://schemas.openxmlformats.org/officeDocument/2006/relationships/hyperlink" Target="https%3A%2F%2Fwww.webofscience.com%2Fwos%2Fwoscc%2Ffull-record%2FWOS%3A000865354900003" TargetMode="External"/><Relationship Id="rId67" Type="http://schemas.openxmlformats.org/officeDocument/2006/relationships/hyperlink" Target="http%3A%2F%2Fdx.doi.org%2F10.1016%2Fj.resconrec.2022.106607" TargetMode="External"/><Relationship Id="rId66" Type="http://schemas.openxmlformats.org/officeDocument/2006/relationships/hyperlink" Target="https%3A%2F%2Fwww.webofscience.com%2Fwos%2Fwoscc%2Ffull-record%2FWOS%3A000468709000009" TargetMode="External"/><Relationship Id="rId65" Type="http://schemas.openxmlformats.org/officeDocument/2006/relationships/hyperlink" Target="http%3A%2F%2Fdx.doi.org%2F10.1016%2Fj.cemconcomp.2018.08.003" TargetMode="External"/><Relationship Id="rId64" Type="http://schemas.openxmlformats.org/officeDocument/2006/relationships/hyperlink" Target="https%3A%2F%2Fwww.webofscience.com%2Fwos%2Fwoscc%2Ffull-record%2FWOS%3A001111607000001" TargetMode="External"/><Relationship Id="rId63" Type="http://schemas.openxmlformats.org/officeDocument/2006/relationships/hyperlink" Target="http%3A%2F%2Fdx.doi.org%2F10.1016%2Fj.jclepro.2023.139309" TargetMode="External"/><Relationship Id="rId62" Type="http://schemas.openxmlformats.org/officeDocument/2006/relationships/hyperlink" Target="https%3A%2F%2Fwww.webofscience.com%2Fwos%2Fwoscc%2Ffull-record%2FWOS%3A000309601900009" TargetMode="External"/><Relationship Id="rId61" Type="http://schemas.openxmlformats.org/officeDocument/2006/relationships/hyperlink" Target="http%3A%2F%2Fdx.doi.org%2F10.1111%2Fj.1465-7287.2011.00296.x" TargetMode="External"/><Relationship Id="rId60" Type="http://schemas.openxmlformats.org/officeDocument/2006/relationships/hyperlink" Target="https%3A%2F%2Fwww.webofscience.com%2Fwos%2Fwoscc%2Ffull-record%2FWOS%3A001720145600001" TargetMode="External"/><Relationship Id="rId6" Type="http://schemas.openxmlformats.org/officeDocument/2006/relationships/hyperlink" Target="http%3A%2F%2Fdx.doi.org%2F10.3934%2Fjimo.2023043" TargetMode="External"/><Relationship Id="rId59" Type="http://schemas.openxmlformats.org/officeDocument/2006/relationships/hyperlink" Target="http%3A%2F%2Fdx.doi.org%2F10.3808%2Fjei.202600553" TargetMode="External"/><Relationship Id="rId58" Type="http://schemas.openxmlformats.org/officeDocument/2006/relationships/hyperlink" Target="https%3A%2F%2Fwww.webofscience.com%2Fwos%2Fwoscc%2Ffull-record%2FWOS%3A001597153800001" TargetMode="External"/><Relationship Id="rId57" Type="http://schemas.openxmlformats.org/officeDocument/2006/relationships/hyperlink" Target="http%3A%2F%2Fdx.doi.org%2F10.1016%2Fj.cie.2025.111528" TargetMode="External"/><Relationship Id="rId56" Type="http://schemas.openxmlformats.org/officeDocument/2006/relationships/hyperlink" Target="https%3A%2F%2Fwww.webofscience.com%2Fwos%2Fwoscc%2Ffull-record%2FWOS%3A001090276500002" TargetMode="External"/><Relationship Id="rId55" Type="http://schemas.openxmlformats.org/officeDocument/2006/relationships/hyperlink" Target="http%3A%2F%2Fdx.doi.org%2F10.1007%2Fs10668-023-03918-2" TargetMode="External"/><Relationship Id="rId54" Type="http://schemas.openxmlformats.org/officeDocument/2006/relationships/hyperlink" Target="https%3A%2F%2Fwww.webofscience.com%2Fwos%2Fwoscc%2Ffull-record%2FWOS%3A000862763200004" TargetMode="External"/><Relationship Id="rId53" Type="http://schemas.openxmlformats.org/officeDocument/2006/relationships/hyperlink" Target="http%3A%2F%2Fdx.doi.org%2F10.1016%2Fj.jclepro.2022.134060" TargetMode="External"/><Relationship Id="rId52" Type="http://schemas.openxmlformats.org/officeDocument/2006/relationships/hyperlink" Target="https%3A%2F%2Fwww.webofscience.com%2Fwos%2Fwoscc%2Ffull-record%2FWOS%3A001025429200069" TargetMode="External"/><Relationship Id="rId51" Type="http://schemas.openxmlformats.org/officeDocument/2006/relationships/hyperlink" Target="http%3A%2F%2Fdx.doi.org%2F10.1371%2Fjournal.pone.0287684" TargetMode="External"/><Relationship Id="rId50" Type="http://schemas.openxmlformats.org/officeDocument/2006/relationships/hyperlink" Target="https%3A%2F%2Fwww.webofscience.com%2Fwos%2Fwoscc%2Ffull-record%2FWOS%3A001703462300001" TargetMode="External"/><Relationship Id="rId5" Type="http://schemas.openxmlformats.org/officeDocument/2006/relationships/hyperlink" Target="https%3A%2F%2Fwww.webofscience.com%2Fwos%2Fwoscc%2Ffull-record%2FWOS%3A000775907400002" TargetMode="External"/><Relationship Id="rId49" Type="http://schemas.openxmlformats.org/officeDocument/2006/relationships/hyperlink" Target="http%3A%2F%2Fdx.doi.org%2F10.1007%2Fs41660-026-00697-x" TargetMode="External"/><Relationship Id="rId48" Type="http://schemas.openxmlformats.org/officeDocument/2006/relationships/hyperlink" Target="https%3A%2F%2Fwww.webofscience.com%2Fwos%2Fwoscc%2Ffull-record%2FWOS%3A001705895400001" TargetMode="External"/><Relationship Id="rId47" Type="http://schemas.openxmlformats.org/officeDocument/2006/relationships/hyperlink" Target="http%3A%2F%2Fdx.doi.org%2F10.1016%2Fj.jclepro.2026.147775" TargetMode="External"/><Relationship Id="rId46" Type="http://schemas.openxmlformats.org/officeDocument/2006/relationships/hyperlink" Target="https%3A%2F%2Fwww.webofscience.com%2Fwos%2Fwoscc%2Ffull-record%2FWOS%3A000285831900002" TargetMode="External"/><Relationship Id="rId45" Type="http://schemas.openxmlformats.org/officeDocument/2006/relationships/hyperlink" Target="https%3A%2F%2Fwww.webofscience.com%2Fwos%2Fwoscc%2Ffull-record%2FWOS%3A000710117000001" TargetMode="External"/><Relationship Id="rId44" Type="http://schemas.openxmlformats.org/officeDocument/2006/relationships/hyperlink" Target="http%3A%2F%2Fdx.doi.org%2F10.3934%2Fjimo.2021181" TargetMode="External"/><Relationship Id="rId43" Type="http://schemas.openxmlformats.org/officeDocument/2006/relationships/hyperlink" Target="https%3A%2F%2Fwww.webofscience.com%2Fwos%2Fwoscc%2Ffull-record%2FWOS%3A001593868800001" TargetMode="External"/><Relationship Id="rId42" Type="http://schemas.openxmlformats.org/officeDocument/2006/relationships/hyperlink" Target="http%3A%2F%2Fdx.doi.org%2F10.3390%2Fsu17198951" TargetMode="External"/><Relationship Id="rId41" Type="http://schemas.openxmlformats.org/officeDocument/2006/relationships/hyperlink" Target="https%3A%2F%2Fwww.webofscience.com%2Fwos%2Fwoscc%2Ffull-record%2FWOS%3A001074169100001" TargetMode="External"/><Relationship Id="rId40" Type="http://schemas.openxmlformats.org/officeDocument/2006/relationships/hyperlink" Target="http%3A%2F%2Fdx.doi.org%2F10.3934%2Fjimo.2023123" TargetMode="External"/><Relationship Id="rId4" Type="http://schemas.openxmlformats.org/officeDocument/2006/relationships/hyperlink" Target="http%3A%2F%2Fdx.doi.org%2F10.1016%2Fj.cie.2021.107769" TargetMode="External"/><Relationship Id="rId39" Type="http://schemas.openxmlformats.org/officeDocument/2006/relationships/hyperlink" Target="https%3A%2F%2Fwww.webofscience.com%2Fwos%2Fwoscc%2Ffull-record%2FWOS%3A001226679900002" TargetMode="External"/><Relationship Id="rId38" Type="http://schemas.openxmlformats.org/officeDocument/2006/relationships/hyperlink" Target="http%3A%2F%2Fdx.doi.org%2F10.1007%2Fs10479-024-06013-5" TargetMode="External"/><Relationship Id="rId37" Type="http://schemas.openxmlformats.org/officeDocument/2006/relationships/hyperlink" Target="https%3A%2F%2Fwww.webofscience.com%2Fwos%2Fwoscc%2Ffull-record%2FWOS%3A001435448200001" TargetMode="External"/><Relationship Id="rId36" Type="http://schemas.openxmlformats.org/officeDocument/2006/relationships/hyperlink" Target="http%3A%2F%2Fdx.doi.org%2F10.1016%2Fj.sca.2025.100109" TargetMode="External"/><Relationship Id="rId35" Type="http://schemas.openxmlformats.org/officeDocument/2006/relationships/hyperlink" Target="https%3A%2F%2Fwww.webofscience.com%2Fwos%2Fwoscc%2Ffull-record%2FWOS%3A001560936800001" TargetMode="External"/><Relationship Id="rId34" Type="http://schemas.openxmlformats.org/officeDocument/2006/relationships/hyperlink" Target="http%3A%2F%2Fdx.doi.org%2F10.1016%2Fj.tre.2025.104384" TargetMode="External"/><Relationship Id="rId33" Type="http://schemas.openxmlformats.org/officeDocument/2006/relationships/hyperlink" Target="https%3A%2F%2Fwww.webofscience.com%2Fwos%2Fwoscc%2Ffull-record%2FWOS%3A001456751700016" TargetMode="External"/><Relationship Id="rId32" Type="http://schemas.openxmlformats.org/officeDocument/2006/relationships/hyperlink" Target="http%3A%2F%2Fdx.doi.org%2F10.1371%2Fjournal.pone.0318952" TargetMode="External"/><Relationship Id="rId31" Type="http://schemas.openxmlformats.org/officeDocument/2006/relationships/hyperlink" Target="https%3A%2F%2Fwww.webofscience.com%2Fwos%2Fwoscc%2Ffull-record%2FWOS%3A001419383700001" TargetMode="External"/><Relationship Id="rId30" Type="http://schemas.openxmlformats.org/officeDocument/2006/relationships/hyperlink" Target="http%3A%2F%2Fdx.doi.org%2F10.3390%2Fsu17031042" TargetMode="External"/><Relationship Id="rId3" Type="http://schemas.openxmlformats.org/officeDocument/2006/relationships/hyperlink" Target="https%3A%2F%2Fwww.webofscience.com%2Fwos%2Fwoscc%2Ffull-record%2FWOS%3A000559597700001" TargetMode="External"/><Relationship Id="rId29" Type="http://schemas.openxmlformats.org/officeDocument/2006/relationships/hyperlink" Target="https%3A%2F%2Fwww.webofscience.com%2Fwos%2Fwoscc%2Ffull-record%2FWOS%3A000711077700001" TargetMode="External"/><Relationship Id="rId28" Type="http://schemas.openxmlformats.org/officeDocument/2006/relationships/hyperlink" Target="http%3A%2F%2Fdx.doi.org%2F10.1108%2FBIJ-05-2021-0254" TargetMode="External"/><Relationship Id="rId27" Type="http://schemas.openxmlformats.org/officeDocument/2006/relationships/hyperlink" Target="https%3A%2F%2Fwww.webofscience.com%2Fwos%2Fwoscc%2Ffull-record%2FWOS%3A001513384700004" TargetMode="External"/><Relationship Id="rId26" Type="http://schemas.openxmlformats.org/officeDocument/2006/relationships/hyperlink" Target="http%3A%2F%2Fdx.doi.org%2F10.1016%2Fj.jclepro.2025.145824" TargetMode="External"/><Relationship Id="rId25" Type="http://schemas.openxmlformats.org/officeDocument/2006/relationships/hyperlink" Target="https%3A%2F%2Fwww.webofscience.com%2Fwos%2Fwoscc%2Ffull-record%2FWOS%3A001154742300001" TargetMode="External"/><Relationship Id="rId24" Type="http://schemas.openxmlformats.org/officeDocument/2006/relationships/hyperlink" Target="http%3A%2F%2Fdx.doi.org%2F10.1016%2Fj.jclepro.2024.140584" TargetMode="External"/><Relationship Id="rId23" Type="http://schemas.openxmlformats.org/officeDocument/2006/relationships/hyperlink" Target="https%3A%2F%2Fwww.webofscience.com%2Fwos%2Fwoscc%2Ffull-record%2FWOS%3A001551850400001" TargetMode="External"/><Relationship Id="rId22" Type="http://schemas.openxmlformats.org/officeDocument/2006/relationships/hyperlink" Target="http%3A%2F%2Fdx.doi.org%2F10.1017%2FS1365100525100424" TargetMode="External"/><Relationship Id="rId21" Type="http://schemas.openxmlformats.org/officeDocument/2006/relationships/hyperlink" Target="https%3A%2F%2Fwww.webofscience.com%2Fwos%2Fwoscc%2Ffull-record%2FWOS%3A001656484100001" TargetMode="External"/><Relationship Id="rId20" Type="http://schemas.openxmlformats.org/officeDocument/2006/relationships/hyperlink" Target="http%3A%2F%2Fdx.doi.org%2F10.1038%2Fs41598-025-30391-w" TargetMode="External"/><Relationship Id="rId2" Type="http://schemas.openxmlformats.org/officeDocument/2006/relationships/hyperlink" Target="http%3A%2F%2Fdx.doi.org%2F10.1007%2Fs10479-020-03642-4" TargetMode="External"/><Relationship Id="rId19" Type="http://schemas.openxmlformats.org/officeDocument/2006/relationships/hyperlink" Target="https%3A%2F%2Fwww.webofscience.com%2Fwos%2Fwoscc%2Ffull-record%2FWOS%3A001545993000001" TargetMode="External"/><Relationship Id="rId18" Type="http://schemas.openxmlformats.org/officeDocument/2006/relationships/hyperlink" Target="http%3A%2F%2Fdx.doi.org%2F10.1007%2Fs41660-025-00558-z" TargetMode="External"/><Relationship Id="rId177" Type="http://schemas.openxmlformats.org/officeDocument/2006/relationships/hyperlink" Target="http%3A%2F%2Fdx.doi.org%2F10.1016%2Fj.psep.2024.10.121" TargetMode="External"/><Relationship Id="rId176" Type="http://schemas.openxmlformats.org/officeDocument/2006/relationships/hyperlink" Target="https%3A%2F%2Fwww.webofscience.com%2Fwos%2Fwoscc%2Ffull-record%2FWOS%3A000459358300111" TargetMode="External"/><Relationship Id="rId175" Type="http://schemas.openxmlformats.org/officeDocument/2006/relationships/hyperlink" Target="http%3A%2F%2Fdx.doi.org%2F10.1016%2Fj.jclepro.2019.01.067" TargetMode="External"/><Relationship Id="rId174" Type="http://schemas.openxmlformats.org/officeDocument/2006/relationships/hyperlink" Target="https%3A%2F%2Fwww.webofscience.com%2Fwos%2Fwoscc%2Ffull-record%2FWOS%3A001425393900001" TargetMode="External"/><Relationship Id="rId173" Type="http://schemas.openxmlformats.org/officeDocument/2006/relationships/hyperlink" Target="http%3A%2F%2Fdx.doi.org%2F10.1016%2Fj.cie.2025.110930" TargetMode="External"/><Relationship Id="rId172" Type="http://schemas.openxmlformats.org/officeDocument/2006/relationships/hyperlink" Target="https%3A%2F%2Fwww.webofscience.com%2Fwos%2Fwoscc%2Ffull-record%2FWOS%3A000487237100109" TargetMode="External"/><Relationship Id="rId171" Type="http://schemas.openxmlformats.org/officeDocument/2006/relationships/hyperlink" Target="http%3A%2F%2Fdx.doi.org%2F10.1016%2Fj.jclepro.2019.117988" TargetMode="External"/><Relationship Id="rId170" Type="http://schemas.openxmlformats.org/officeDocument/2006/relationships/hyperlink" Target="https%3A%2F%2Fwww.webofscience.com%2Fwos%2Fwoscc%2Ffull-record%2FWOS%3A001342213000001" TargetMode="External"/><Relationship Id="rId17" Type="http://schemas.openxmlformats.org/officeDocument/2006/relationships/hyperlink" Target="https%3A%2F%2Fwww.webofscience.com%2Fwos%2Fwoscc%2Ffull-record%2FWOS%3A001289611100001" TargetMode="External"/><Relationship Id="rId169" Type="http://schemas.openxmlformats.org/officeDocument/2006/relationships/hyperlink" Target="http%3A%2F%2Fdx.doi.org%2F10.1016%2Fj.eneco.2024.107955" TargetMode="External"/><Relationship Id="rId168" Type="http://schemas.openxmlformats.org/officeDocument/2006/relationships/hyperlink" Target="https%3A%2F%2Fwww.webofscience.com%2Fwos%2Fwoscc%2Ffull-record%2FWOS%3A000787972000001" TargetMode="External"/><Relationship Id="rId167" Type="http://schemas.openxmlformats.org/officeDocument/2006/relationships/hyperlink" Target="http%3A%2F%2Fdx.doi.org%2F10.3390%2Fijerph19084653" TargetMode="External"/><Relationship Id="rId166" Type="http://schemas.openxmlformats.org/officeDocument/2006/relationships/hyperlink" Target="https%3A%2F%2Fwww.webofscience.com%2Fwos%2Fwoscc%2Ffull-record%2FWOS%3A001107606200001" TargetMode="External"/><Relationship Id="rId165" Type="http://schemas.openxmlformats.org/officeDocument/2006/relationships/hyperlink" Target="http%3A%2F%2Fdx.doi.org%2F10.1039%2Fd3va00057e" TargetMode="External"/><Relationship Id="rId164" Type="http://schemas.openxmlformats.org/officeDocument/2006/relationships/hyperlink" Target="https%3A%2F%2Fwww.webofscience.com%2Fwos%2Fwoscc%2Ffull-record%2FWOS%3A000403854200002" TargetMode="External"/><Relationship Id="rId163" Type="http://schemas.openxmlformats.org/officeDocument/2006/relationships/hyperlink" Target="http%3A%2F%2Fdx.doi.org%2F10.1016%2Fj.jclepro.2017.05.021" TargetMode="External"/><Relationship Id="rId162" Type="http://schemas.openxmlformats.org/officeDocument/2006/relationships/hyperlink" Target="https%3A%2F%2Fwww.webofscience.com%2Fwos%2Fwoscc%2Ffull-record%2FWOS%3A000458221900002" TargetMode="External"/><Relationship Id="rId161" Type="http://schemas.openxmlformats.org/officeDocument/2006/relationships/hyperlink" Target="http%3A%2F%2Fdx.doi.org%2F10.1016%2Fj.cie.2018.11.059" TargetMode="External"/><Relationship Id="rId160" Type="http://schemas.openxmlformats.org/officeDocument/2006/relationships/hyperlink" Target="https%3A%2F%2Fwww.webofscience.com%2Fwos%2Fwoscc%2Ffull-record%2FWOS%3A001022818100003" TargetMode="External"/><Relationship Id="rId16" Type="http://schemas.openxmlformats.org/officeDocument/2006/relationships/hyperlink" Target="http%3A%2F%2Fdx.doi.org%2F10.1016%2Fj.cie.2024.110423" TargetMode="External"/><Relationship Id="rId159" Type="http://schemas.openxmlformats.org/officeDocument/2006/relationships/hyperlink" Target="http%3A%2F%2Fdx.doi.org%2F10.1007%2Fs11356-023-28417-9" TargetMode="External"/><Relationship Id="rId158" Type="http://schemas.openxmlformats.org/officeDocument/2006/relationships/hyperlink" Target="https%3A%2F%2Fwww.webofscience.com%2Fwos%2Fwoscc%2Ffull-record%2FWOS%3A001401663000001" TargetMode="External"/><Relationship Id="rId157" Type="http://schemas.openxmlformats.org/officeDocument/2006/relationships/hyperlink" Target="http%3A%2F%2Fdx.doi.org%2F10.1016%2Fj.jclepro.2024.144523" TargetMode="External"/><Relationship Id="rId156" Type="http://schemas.openxmlformats.org/officeDocument/2006/relationships/hyperlink" Target="https%3A%2F%2Fwww.webofscience.com%2Fwos%2Fwoscc%2Ffull-record%2FWOS%3A000668929800008" TargetMode="External"/><Relationship Id="rId155" Type="http://schemas.openxmlformats.org/officeDocument/2006/relationships/hyperlink" Target="http%3A%2F%2Fdx.doi.org%2F10.1016%2Fj.ejor.2021.03.017" TargetMode="External"/><Relationship Id="rId154" Type="http://schemas.openxmlformats.org/officeDocument/2006/relationships/hyperlink" Target="https%3A%2F%2Fwww.webofscience.com%2Fwos%2Fwoscc%2Ffull-record%2FWOS%3A001716530100008" TargetMode="External"/><Relationship Id="rId153" Type="http://schemas.openxmlformats.org/officeDocument/2006/relationships/hyperlink" Target="http%3A%2F%2Fdx.doi.org%2F10.1007%2Fs12351-025-01014-z" TargetMode="External"/><Relationship Id="rId152" Type="http://schemas.openxmlformats.org/officeDocument/2006/relationships/hyperlink" Target="https%3A%2F%2Fwww.webofscience.com%2Fwos%2Fwoscc%2Ffull-record%2FWOS%3A000640575000013" TargetMode="External"/><Relationship Id="rId151" Type="http://schemas.openxmlformats.org/officeDocument/2006/relationships/hyperlink" Target="http%3A%2F%2Fdx.doi.org%2F10.1007%2Fs10479-019-03365-1" TargetMode="External"/><Relationship Id="rId150" Type="http://schemas.openxmlformats.org/officeDocument/2006/relationships/hyperlink" Target="https%3A%2F%2Fwww.webofscience.com%2Fwos%2Fwoscc%2Ffull-record%2FWOS%3A001076000300001" TargetMode="External"/><Relationship Id="rId15" Type="http://schemas.openxmlformats.org/officeDocument/2006/relationships/hyperlink" Target="https%3A%2F%2Fwww.webofscience.com%2Fwos%2Fwoscc%2Ffull-record%2FWOS%3A000273377900017" TargetMode="External"/><Relationship Id="rId149" Type="http://schemas.openxmlformats.org/officeDocument/2006/relationships/hyperlink" Target="http%3A%2F%2Fdx.doi.org%2F10.1016%2Fj.eswa.2023.121466" TargetMode="External"/><Relationship Id="rId148" Type="http://schemas.openxmlformats.org/officeDocument/2006/relationships/hyperlink" Target="https%3A%2F%2Fwww.webofscience.com%2Fwos%2Fwoscc%2Ffull-record%2FWOS%3A000958158300001" TargetMode="External"/><Relationship Id="rId147" Type="http://schemas.openxmlformats.org/officeDocument/2006/relationships/hyperlink" Target="http%3A%2F%2Fdx.doi.org%2F10.3390%2Fsystems11030126" TargetMode="External"/><Relationship Id="rId146" Type="http://schemas.openxmlformats.org/officeDocument/2006/relationships/hyperlink" Target="https%3A%2F%2Fwww.webofscience.com%2Fwos%2Fwoscc%2Ffull-record%2FWOS%3A000520402600040" TargetMode="External"/><Relationship Id="rId145" Type="http://schemas.openxmlformats.org/officeDocument/2006/relationships/hyperlink" Target="http%3A%2F%2Fdx.doi.org%2F10.1016%2Fj.apenergy.2020.114605" TargetMode="External"/><Relationship Id="rId144" Type="http://schemas.openxmlformats.org/officeDocument/2006/relationships/hyperlink" Target="https%3A%2F%2Fwww.webofscience.com%2Fwos%2Fwoscc%2Ffull-record%2FWOS%3A000531824100006" TargetMode="External"/><Relationship Id="rId143" Type="http://schemas.openxmlformats.org/officeDocument/2006/relationships/hyperlink" Target="http%3A%2F%2Fdx.doi.org%2F10.3390%2Fmath8040466" TargetMode="External"/><Relationship Id="rId142" Type="http://schemas.openxmlformats.org/officeDocument/2006/relationships/hyperlink" Target="https%3A%2F%2Fwww.webofscience.com%2Fwos%2Fwoscc%2Ffull-record%2FWOS%3A001320800200001" TargetMode="External"/><Relationship Id="rId141" Type="http://schemas.openxmlformats.org/officeDocument/2006/relationships/hyperlink" Target="http%3A%2F%2Fdx.doi.org%2F10.1016%2Fj.cie.2024.110580" TargetMode="External"/><Relationship Id="rId140" Type="http://schemas.openxmlformats.org/officeDocument/2006/relationships/hyperlink" Target="https%3A%2F%2Fwww.webofscience.com%2Fwos%2Fwoscc%2Ffull-record%2FWOS%3A000302848700034" TargetMode="External"/><Relationship Id="rId14" Type="http://schemas.openxmlformats.org/officeDocument/2006/relationships/hyperlink" Target="http%3A%2F%2Fdx.doi.org%2F10.1016%2Fj.eneco.2009.06.016" TargetMode="External"/><Relationship Id="rId139" Type="http://schemas.openxmlformats.org/officeDocument/2006/relationships/hyperlink" Target="http%3A%2F%2Fdx.doi.org%2F10.1016%2Fj.enpol.2012.01.066" TargetMode="External"/><Relationship Id="rId138" Type="http://schemas.openxmlformats.org/officeDocument/2006/relationships/hyperlink" Target="https%3A%2F%2Fwww.webofscience.com%2Fwos%2Fwoscc%2Ffull-record%2FWOS%3A000345001500012" TargetMode="External"/><Relationship Id="rId137" Type="http://schemas.openxmlformats.org/officeDocument/2006/relationships/hyperlink" Target="http%3A%2F%2Fdx.doi.org%2F10.1080%2F00207543.2014.957875" TargetMode="External"/><Relationship Id="rId136" Type="http://schemas.openxmlformats.org/officeDocument/2006/relationships/hyperlink" Target="https%3A%2F%2Fwww.webofscience.com%2Fwos%2Fwoscc%2Ffull-record%2FWOS%3A000835622400001" TargetMode="External"/><Relationship Id="rId135" Type="http://schemas.openxmlformats.org/officeDocument/2006/relationships/hyperlink" Target="http%3A%2F%2Fdx.doi.org%2F10.1007%2Fs10640-022-00711-z" TargetMode="External"/><Relationship Id="rId134" Type="http://schemas.openxmlformats.org/officeDocument/2006/relationships/hyperlink" Target="https%3A%2F%2Fwww.webofscience.com%2Fwos%2Fwoscc%2Ffull-record%2FWOS%3A000773073400001" TargetMode="External"/><Relationship Id="rId133" Type="http://schemas.openxmlformats.org/officeDocument/2006/relationships/hyperlink" Target="http%3A%2F%2Fdx.doi.org%2F10.1155%2F2022%2F8378639" TargetMode="External"/><Relationship Id="rId132" Type="http://schemas.openxmlformats.org/officeDocument/2006/relationships/hyperlink" Target="https%3A%2F%2Fwww.webofscience.com%2Fwos%2Fwoscc%2Ffull-record%2FWOS%3A001626185100009" TargetMode="External"/><Relationship Id="rId131" Type="http://schemas.openxmlformats.org/officeDocument/2006/relationships/hyperlink" Target="http%3A%2F%2Fdx.doi.org%2F10.1016%2Fj.tre.2025.104521" TargetMode="External"/><Relationship Id="rId130" Type="http://schemas.openxmlformats.org/officeDocument/2006/relationships/hyperlink" Target="https%3A%2F%2Fwww.webofscience.com%2Fwos%2Fwoscc%2Ffull-record%2FWOS%3A001588914100001" TargetMode="External"/><Relationship Id="rId13" Type="http://schemas.openxmlformats.org/officeDocument/2006/relationships/hyperlink" Target="https%3A%2F%2Fwww.webofscience.com%2Fwos%2Fwoscc%2Ffull-record%2FWOS%3A000298622000004" TargetMode="External"/><Relationship Id="rId129" Type="http://schemas.openxmlformats.org/officeDocument/2006/relationships/hyperlink" Target="http%3A%2F%2Fdx.doi.org%2F10.1016%2Fj.fufo.2025.100771" TargetMode="External"/><Relationship Id="rId128" Type="http://schemas.openxmlformats.org/officeDocument/2006/relationships/hyperlink" Target="https%3A%2F%2Fwww.webofscience.com%2Fwos%2Fwoscc%2Ffull-record%2FWOS%3A001587572200001" TargetMode="External"/><Relationship Id="rId127" Type="http://schemas.openxmlformats.org/officeDocument/2006/relationships/hyperlink" Target="http%3A%2F%2Fdx.doi.org%2F10.1007%2Fs10100-025-00995-8" TargetMode="External"/><Relationship Id="rId126" Type="http://schemas.openxmlformats.org/officeDocument/2006/relationships/hyperlink" Target="https%3A%2F%2Fwww.webofscience.com%2Fwos%2Fwoscc%2Ffull-record%2FWOS%3A000540590200003" TargetMode="External"/><Relationship Id="rId125" Type="http://schemas.openxmlformats.org/officeDocument/2006/relationships/hyperlink" Target="http%3A%2F%2Fdx.doi.org%2F10.1155%2F2020%2F2313698" TargetMode="External"/><Relationship Id="rId124" Type="http://schemas.openxmlformats.org/officeDocument/2006/relationships/hyperlink" Target="https%3A%2F%2Fwww.webofscience.com%2Fwos%2Fwoscc%2Ffull-record%2FWOS%3A000740705700011" TargetMode="External"/><Relationship Id="rId123" Type="http://schemas.openxmlformats.org/officeDocument/2006/relationships/hyperlink" Target="http%3A%2F%2Fdx.doi.org%2F10.3934%2Fjimo.2020078" TargetMode="External"/><Relationship Id="rId122" Type="http://schemas.openxmlformats.org/officeDocument/2006/relationships/hyperlink" Target="https%3A%2F%2Fwww.webofscience.com%2Fwos%2Fwoscc%2Ffull-record%2FWOS%3A000714865400001" TargetMode="External"/><Relationship Id="rId121" Type="http://schemas.openxmlformats.org/officeDocument/2006/relationships/hyperlink" Target="http%3A%2F%2Fdx.doi.org%2F10.3390%2Fijerph182010804" TargetMode="External"/><Relationship Id="rId120" Type="http://schemas.openxmlformats.org/officeDocument/2006/relationships/hyperlink" Target="https%3A%2F%2Fwww.webofscience.com%2Fwos%2Fwoscc%2Ffull-record%2FWOS%3A001574304600001" TargetMode="External"/><Relationship Id="rId12" Type="http://schemas.openxmlformats.org/officeDocument/2006/relationships/hyperlink" Target="http%3A%2F%2Fdx.doi.org%2F10.1016%2Fj.jeem.2011.05.002" TargetMode="External"/><Relationship Id="rId119" Type="http://schemas.openxmlformats.org/officeDocument/2006/relationships/hyperlink" Target="http%3A%2F%2Fdx.doi.org%2F10.1007%2Fs12597-025-01008-7" TargetMode="External"/><Relationship Id="rId118" Type="http://schemas.openxmlformats.org/officeDocument/2006/relationships/hyperlink" Target="https%3A%2F%2Fwww.webofscience.com%2Fwos%2Fwoscc%2Ffull-record%2FWOS%3A001550027500001" TargetMode="External"/><Relationship Id="rId117" Type="http://schemas.openxmlformats.org/officeDocument/2006/relationships/hyperlink" Target="http%3A%2F%2Fdx.doi.org%2F10.1007%2Fs10479-025-06788-1" TargetMode="External"/><Relationship Id="rId116" Type="http://schemas.openxmlformats.org/officeDocument/2006/relationships/hyperlink" Target="https%3A%2F%2Fwww.webofscience.com%2Fwos%2Fwoscc%2Ffull-record%2FWOS%3A000943729700001" TargetMode="External"/><Relationship Id="rId115" Type="http://schemas.openxmlformats.org/officeDocument/2006/relationships/hyperlink" Target="http%3A%2F%2Fdx.doi.org%2F10.1080%2F00207543.2023.2175173" TargetMode="External"/><Relationship Id="rId114" Type="http://schemas.openxmlformats.org/officeDocument/2006/relationships/hyperlink" Target="https%3A%2F%2Fwww.webofscience.com%2Fwos%2Fwoscc%2Ffull-record%2FWOS%3A000860106100001" TargetMode="External"/><Relationship Id="rId113" Type="http://schemas.openxmlformats.org/officeDocument/2006/relationships/hyperlink" Target="http%3A%2F%2Fdx.doi.org%2F10.3390%2Flogistics6030055" TargetMode="External"/><Relationship Id="rId112" Type="http://schemas.openxmlformats.org/officeDocument/2006/relationships/hyperlink" Target="https%3A%2F%2Fwww.webofscience.com%2Fwos%2Fwoscc%2Ffull-record%2FWOS%3A001578688900001" TargetMode="External"/><Relationship Id="rId111" Type="http://schemas.openxmlformats.org/officeDocument/2006/relationships/hyperlink" Target="http%3A%2F%2Fdx.doi.org%2F10.1007%2Fs10640-025-01036-3" TargetMode="External"/><Relationship Id="rId110" Type="http://schemas.openxmlformats.org/officeDocument/2006/relationships/hyperlink" Target="https%3A%2F%2Fwww.webofscience.com%2Fwos%2Fwoscc%2Ffull-record%2FWOS%3A001572949300001" TargetMode="External"/><Relationship Id="rId11" Type="http://schemas.openxmlformats.org/officeDocument/2006/relationships/hyperlink" Target="https%3A%2F%2Fwww.webofscience.com%2Fwos%2Fwoscc%2Ffull-record%2FWOS%3A001529758400002" TargetMode="External"/><Relationship Id="rId109" Type="http://schemas.openxmlformats.org/officeDocument/2006/relationships/hyperlink" Target="http%3A%2F%2Fdx.doi.org%2F10.1080%2F03081079.2025.2534838" TargetMode="External"/><Relationship Id="rId108" Type="http://schemas.openxmlformats.org/officeDocument/2006/relationships/hyperlink" Target="https%3A%2F%2Fwww.webofscience.com%2Fwos%2Fwoscc%2Ffull-record%2FWOS%3A000411385700006" TargetMode="External"/><Relationship Id="rId107" Type="http://schemas.openxmlformats.org/officeDocument/2006/relationships/hyperlink" Target="http%3A%2F%2Fdx.doi.org%2F10.1080%2F14693062.2016.1169499" TargetMode="External"/><Relationship Id="rId106" Type="http://schemas.openxmlformats.org/officeDocument/2006/relationships/hyperlink" Target="https%3A%2F%2Fwww.webofscience.com%2Fwos%2Fwoscc%2Ffull-record%2FWOS%3A000389090300135" TargetMode="External"/><Relationship Id="rId105" Type="http://schemas.openxmlformats.org/officeDocument/2006/relationships/hyperlink" Target="http%3A%2F%2Fdx.doi.org%2F10.1016%2Fj.jclepro.2016.09.228" TargetMode="External"/><Relationship Id="rId104" Type="http://schemas.openxmlformats.org/officeDocument/2006/relationships/hyperlink" Target="https%3A%2F%2Fwww.webofscience.com%2Fwos%2Fwoscc%2Ffull-record%2FWOS%3A000288402500097" TargetMode="External"/><Relationship Id="rId103" Type="http://schemas.openxmlformats.org/officeDocument/2006/relationships/hyperlink" Target="https%3A%2F%2Fwww.webofscience.com%2Fwos%2Fwoscc%2Ffull-record%2FWOS%3A000335290100010" TargetMode="External"/><Relationship Id="rId102" Type="http://schemas.openxmlformats.org/officeDocument/2006/relationships/hyperlink" Target="http%3A%2F%2Fdx.doi.org%2F10.1016%2Fj.wasman.2014.02.022" TargetMode="External"/><Relationship Id="rId101" Type="http://schemas.openxmlformats.org/officeDocument/2006/relationships/hyperlink" Target="https%3A%2F%2Fwww.webofscience.com%2Fwos%2Fwoscc%2Ffull-record%2FWOS%3A000289876900002" TargetMode="External"/><Relationship Id="rId100" Type="http://schemas.openxmlformats.org/officeDocument/2006/relationships/hyperlink" Target="http%3A%2F%2Fdx.doi.org%2F10.1017%2FS1355770X10000495" TargetMode="External"/><Relationship Id="rId10" Type="http://schemas.openxmlformats.org/officeDocument/2006/relationships/hyperlink" Target="http%3A%2F%2Fdx.doi.org%2F10.1016%2Fj.cie.2025.111275" TargetMode="External"/><Relationship Id="rId1" Type="http://schemas.openxmlformats.org/officeDocument/2006/relationships/hyperlink" Target="https%3A%2F%2Fwww.webofscience.com%2Fwos%2Fwoscc%2Ffull-record%2FWOS%3A0013559794000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H91"/>
  <sheetViews>
    <sheetView tabSelected="1" workbookViewId="0">
      <pane ySplit="1" topLeftCell="A7" activePane="bottomLeft" state="frozen"/>
      <selection/>
      <selection pane="bottomLeft" activeCell="D29" sqref="D29"/>
    </sheetView>
  </sheetViews>
  <sheetFormatPr defaultColWidth="9" defaultRowHeight="16.8"/>
  <cols>
    <col min="4" max="4" width="18.1057692307692"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t="s">
        <v>34</v>
      </c>
      <c r="B2" t="s">
        <v>35</v>
      </c>
      <c r="C2" t="s">
        <v>36</v>
      </c>
      <c r="D2" t="s">
        <v>37</v>
      </c>
      <c r="E2" t="s">
        <v>38</v>
      </c>
      <c r="F2" t="s">
        <v>39</v>
      </c>
      <c r="G2" t="s">
        <v>40</v>
      </c>
      <c r="H2" t="s">
        <v>41</v>
      </c>
      <c r="I2" t="s">
        <v>42</v>
      </c>
      <c r="J2" t="s">
        <v>43</v>
      </c>
      <c r="K2" t="s">
        <v>44</v>
      </c>
      <c r="L2" t="s">
        <v>45</v>
      </c>
      <c r="M2" t="s">
        <v>46</v>
      </c>
      <c r="N2" t="s">
        <v>47</v>
      </c>
      <c r="O2" t="s">
        <v>47</v>
      </c>
      <c r="P2" t="s">
        <v>47</v>
      </c>
      <c r="Q2" t="s">
        <v>47</v>
      </c>
      <c r="R2" t="s">
        <v>47</v>
      </c>
      <c r="S2" t="s">
        <v>48</v>
      </c>
      <c r="T2" t="s">
        <v>49</v>
      </c>
      <c r="U2" t="s">
        <v>47</v>
      </c>
      <c r="V2" t="s">
        <v>50</v>
      </c>
      <c r="W2" s="1" t="str">
        <f>HYPERLINK("http://dx.doi.org/10.1016/j.psep.2024.10.121","http://dx.doi.org/10.1016/j.psep.2024.10.121")</f>
        <v>http://dx.doi.org/10.1016/j.psep.2024.10.121</v>
      </c>
      <c r="X2" t="s">
        <v>47</v>
      </c>
      <c r="Y2" t="s">
        <v>51</v>
      </c>
      <c r="Z2" t="s">
        <v>52</v>
      </c>
      <c r="AA2" t="s">
        <v>47</v>
      </c>
      <c r="AB2" t="s">
        <v>53</v>
      </c>
      <c r="AC2" s="1" t="str">
        <f>HYPERLINK("https://www.webofscience.com/wos/woscc/full-record/WOS:001355979400001","View Record in Web of Science")</f>
        <v>View Record in Web of Science</v>
      </c>
      <c r="AD2" t="s">
        <v>47</v>
      </c>
      <c r="AE2" t="s">
        <v>47</v>
      </c>
      <c r="AF2" t="s">
        <v>47</v>
      </c>
      <c r="AG2" t="s">
        <v>54</v>
      </c>
    </row>
    <row r="3" spans="1:34">
      <c r="A3" t="s">
        <v>34</v>
      </c>
      <c r="B3" t="s">
        <v>55</v>
      </c>
      <c r="C3" t="s">
        <v>56</v>
      </c>
      <c r="D3" t="s">
        <v>57</v>
      </c>
      <c r="E3" t="s">
        <v>58</v>
      </c>
      <c r="F3" t="s">
        <v>59</v>
      </c>
      <c r="G3" t="s">
        <v>47</v>
      </c>
      <c r="H3" t="s">
        <v>60</v>
      </c>
      <c r="I3" t="s">
        <v>61</v>
      </c>
      <c r="J3" t="s">
        <v>62</v>
      </c>
      <c r="K3" t="s">
        <v>63</v>
      </c>
      <c r="L3" t="s">
        <v>64</v>
      </c>
      <c r="M3" t="s">
        <v>65</v>
      </c>
      <c r="N3" t="s">
        <v>66</v>
      </c>
      <c r="O3" t="s">
        <v>67</v>
      </c>
      <c r="P3" t="s">
        <v>47</v>
      </c>
      <c r="Q3" t="s">
        <v>47</v>
      </c>
      <c r="R3" t="s">
        <v>47</v>
      </c>
      <c r="S3" t="s">
        <v>68</v>
      </c>
      <c r="T3" t="s">
        <v>69</v>
      </c>
      <c r="U3" t="s">
        <v>47</v>
      </c>
      <c r="V3" t="s">
        <v>70</v>
      </c>
      <c r="W3" s="1" t="str">
        <f>HYPERLINK("http://dx.doi.org/10.1007/s10479-020-03642-4","http://dx.doi.org/10.1007/s10479-020-03642-4")</f>
        <v>http://dx.doi.org/10.1007/s10479-020-03642-4</v>
      </c>
      <c r="X3" t="s">
        <v>47</v>
      </c>
      <c r="Y3" t="s">
        <v>71</v>
      </c>
      <c r="Z3" t="s">
        <v>52</v>
      </c>
      <c r="AA3" t="s">
        <v>47</v>
      </c>
      <c r="AB3" t="s">
        <v>72</v>
      </c>
      <c r="AC3" s="1" t="str">
        <f>HYPERLINK("https://www.webofscience.com/wos/woscc/full-record/WOS:000559597700001","View Record in Web of Science")</f>
        <v>View Record in Web of Science</v>
      </c>
      <c r="AD3" t="s">
        <v>47</v>
      </c>
      <c r="AE3" t="s">
        <v>47</v>
      </c>
      <c r="AF3" t="s">
        <v>47</v>
      </c>
      <c r="AG3" t="s">
        <v>54</v>
      </c>
    </row>
    <row r="4" spans="1:34">
      <c r="A4" t="s">
        <v>34</v>
      </c>
      <c r="B4" t="s">
        <v>73</v>
      </c>
      <c r="C4" t="s">
        <v>74</v>
      </c>
      <c r="D4" t="s">
        <v>75</v>
      </c>
      <c r="E4" t="s">
        <v>76</v>
      </c>
      <c r="F4" t="s">
        <v>77</v>
      </c>
      <c r="G4" t="s">
        <v>78</v>
      </c>
      <c r="H4" t="s">
        <v>79</v>
      </c>
      <c r="I4" t="s">
        <v>80</v>
      </c>
      <c r="J4" t="s">
        <v>81</v>
      </c>
      <c r="K4" t="s">
        <v>82</v>
      </c>
      <c r="L4" t="s">
        <v>64</v>
      </c>
      <c r="M4" t="s">
        <v>83</v>
      </c>
      <c r="N4" t="s">
        <v>47</v>
      </c>
      <c r="O4" t="s">
        <v>47</v>
      </c>
      <c r="P4" t="s">
        <v>47</v>
      </c>
      <c r="Q4" t="s">
        <v>47</v>
      </c>
      <c r="R4" t="s">
        <v>47</v>
      </c>
      <c r="S4" t="s">
        <v>47</v>
      </c>
      <c r="T4" t="s">
        <v>47</v>
      </c>
      <c r="U4" t="s">
        <v>84</v>
      </c>
      <c r="V4" t="s">
        <v>85</v>
      </c>
      <c r="W4" s="1" t="str">
        <f>HYPERLINK("http://dx.doi.org/10.1016/j.cie.2021.107769","http://dx.doi.org/10.1016/j.cie.2021.107769")</f>
        <v>http://dx.doi.org/10.1016/j.cie.2021.107769</v>
      </c>
      <c r="X4" t="s">
        <v>47</v>
      </c>
      <c r="Y4" t="s">
        <v>47</v>
      </c>
      <c r="Z4" t="s">
        <v>86</v>
      </c>
      <c r="AA4" t="s">
        <v>47</v>
      </c>
      <c r="AB4" t="s">
        <v>87</v>
      </c>
      <c r="AC4" s="1" t="str">
        <f>HYPERLINK("https://www.webofscience.com/wos/woscc/full-record/WOS:000775907400002","View Record in Web of Science")</f>
        <v>View Record in Web of Science</v>
      </c>
      <c r="AD4" t="s">
        <v>47</v>
      </c>
      <c r="AE4" t="s">
        <v>47</v>
      </c>
      <c r="AF4" t="s">
        <v>47</v>
      </c>
      <c r="AG4" t="s">
        <v>54</v>
      </c>
    </row>
    <row r="5" spans="1:34">
      <c r="A5" t="s">
        <v>34</v>
      </c>
      <c r="B5" t="s">
        <v>88</v>
      </c>
      <c r="C5" t="s">
        <v>89</v>
      </c>
      <c r="D5" t="s">
        <v>90</v>
      </c>
      <c r="E5" t="s">
        <v>91</v>
      </c>
      <c r="F5" t="s">
        <v>92</v>
      </c>
      <c r="G5" t="s">
        <v>93</v>
      </c>
      <c r="H5" t="s">
        <v>47</v>
      </c>
      <c r="I5" t="s">
        <v>94</v>
      </c>
      <c r="J5" t="s">
        <v>95</v>
      </c>
      <c r="K5" t="s">
        <v>96</v>
      </c>
      <c r="L5" t="s">
        <v>97</v>
      </c>
      <c r="M5" t="s">
        <v>98</v>
      </c>
      <c r="N5" t="s">
        <v>99</v>
      </c>
      <c r="O5" t="s">
        <v>47</v>
      </c>
      <c r="P5" t="s">
        <v>47</v>
      </c>
      <c r="Q5" t="s">
        <v>47</v>
      </c>
      <c r="R5" t="s">
        <v>47</v>
      </c>
      <c r="S5" t="s">
        <v>100</v>
      </c>
      <c r="T5" t="s">
        <v>101</v>
      </c>
      <c r="U5" t="s">
        <v>47</v>
      </c>
      <c r="V5" t="s">
        <v>102</v>
      </c>
      <c r="W5" s="1" t="str">
        <f>HYPERLINK("http://dx.doi.org/10.3934/jimo.2023043","http://dx.doi.org/10.3934/jimo.2023043")</f>
        <v>http://dx.doi.org/10.3934/jimo.2023043</v>
      </c>
      <c r="X5" t="s">
        <v>47</v>
      </c>
      <c r="Y5" t="s">
        <v>47</v>
      </c>
      <c r="Z5" t="s">
        <v>52</v>
      </c>
      <c r="AA5" t="s">
        <v>47</v>
      </c>
      <c r="AB5" t="s">
        <v>103</v>
      </c>
      <c r="AC5" s="1" t="str">
        <f>HYPERLINK("https://www.webofscience.com/wos/woscc/full-record/WOS:000988785400023","View Record in Web of Science")</f>
        <v>View Record in Web of Science</v>
      </c>
      <c r="AD5" t="s">
        <v>47</v>
      </c>
      <c r="AE5" t="s">
        <v>47</v>
      </c>
      <c r="AF5" t="s">
        <v>47</v>
      </c>
      <c r="AG5" t="s">
        <v>54</v>
      </c>
    </row>
    <row r="6" spans="1:34">
      <c r="A6" t="s">
        <v>34</v>
      </c>
      <c r="B6" t="s">
        <v>104</v>
      </c>
      <c r="C6" t="s">
        <v>105</v>
      </c>
      <c r="D6" t="s">
        <v>106</v>
      </c>
      <c r="E6" t="s">
        <v>107</v>
      </c>
      <c r="F6" t="s">
        <v>108</v>
      </c>
      <c r="G6" t="s">
        <v>109</v>
      </c>
      <c r="H6" t="s">
        <v>110</v>
      </c>
      <c r="I6" t="s">
        <v>47</v>
      </c>
      <c r="J6" t="s">
        <v>111</v>
      </c>
      <c r="K6" t="s">
        <v>112</v>
      </c>
      <c r="L6" t="s">
        <v>113</v>
      </c>
      <c r="M6" t="s">
        <v>114</v>
      </c>
      <c r="N6" t="s">
        <v>115</v>
      </c>
      <c r="O6" t="s">
        <v>47</v>
      </c>
      <c r="P6" t="s">
        <v>47</v>
      </c>
      <c r="Q6" t="s">
        <v>47</v>
      </c>
      <c r="R6" t="s">
        <v>47</v>
      </c>
      <c r="S6" t="s">
        <v>47</v>
      </c>
      <c r="T6" t="s">
        <v>47</v>
      </c>
      <c r="U6" t="s">
        <v>116</v>
      </c>
      <c r="V6" t="s">
        <v>117</v>
      </c>
      <c r="W6" s="1" t="str">
        <f>HYPERLINK("http://dx.doi.org/10.3390/ijerph15040678","http://dx.doi.org/10.3390/ijerph15040678")</f>
        <v>http://dx.doi.org/10.3390/ijerph15040678</v>
      </c>
      <c r="X6" t="s">
        <v>47</v>
      </c>
      <c r="Y6" t="s">
        <v>47</v>
      </c>
      <c r="Z6" t="s">
        <v>86</v>
      </c>
      <c r="AA6" t="s">
        <v>118</v>
      </c>
      <c r="AB6" t="s">
        <v>119</v>
      </c>
      <c r="AC6" s="1" t="str">
        <f>HYPERLINK("https://www.webofscience.com/wos/woscc/full-record/WOS:000434868800117","View Record in Web of Science")</f>
        <v>View Record in Web of Science</v>
      </c>
      <c r="AD6" t="s">
        <v>47</v>
      </c>
      <c r="AE6" t="s">
        <v>47</v>
      </c>
      <c r="AF6" t="s">
        <v>47</v>
      </c>
      <c r="AG6" t="s">
        <v>54</v>
      </c>
    </row>
    <row r="7" spans="1:34">
      <c r="A7" t="s">
        <v>34</v>
      </c>
      <c r="B7" t="s">
        <v>120</v>
      </c>
      <c r="C7" t="s">
        <v>121</v>
      </c>
      <c r="D7" t="s">
        <v>122</v>
      </c>
      <c r="E7" t="s">
        <v>76</v>
      </c>
      <c r="F7" t="s">
        <v>123</v>
      </c>
      <c r="G7" t="s">
        <v>124</v>
      </c>
      <c r="H7" t="s">
        <v>125</v>
      </c>
      <c r="I7" t="s">
        <v>80</v>
      </c>
      <c r="J7" t="s">
        <v>81</v>
      </c>
      <c r="K7" t="s">
        <v>126</v>
      </c>
      <c r="L7" t="s">
        <v>127</v>
      </c>
      <c r="M7" t="s">
        <v>128</v>
      </c>
      <c r="N7" t="s">
        <v>47</v>
      </c>
      <c r="O7" t="s">
        <v>47</v>
      </c>
      <c r="P7" t="s">
        <v>47</v>
      </c>
      <c r="Q7" t="s">
        <v>47</v>
      </c>
      <c r="R7" t="s">
        <v>47</v>
      </c>
      <c r="S7" t="s">
        <v>47</v>
      </c>
      <c r="T7" t="s">
        <v>47</v>
      </c>
      <c r="U7" t="s">
        <v>129</v>
      </c>
      <c r="V7" t="s">
        <v>130</v>
      </c>
      <c r="W7" s="1" t="str">
        <f>HYPERLINK("http://dx.doi.org/10.1016/j.cie.2025.111275","http://dx.doi.org/10.1016/j.cie.2025.111275")</f>
        <v>http://dx.doi.org/10.1016/j.cie.2025.111275</v>
      </c>
      <c r="X7" t="s">
        <v>47</v>
      </c>
      <c r="Y7" t="s">
        <v>131</v>
      </c>
      <c r="Z7" t="s">
        <v>52</v>
      </c>
      <c r="AA7" t="s">
        <v>47</v>
      </c>
      <c r="AB7" t="s">
        <v>132</v>
      </c>
      <c r="AC7" s="1" t="str">
        <f>HYPERLINK("https://www.webofscience.com/wos/woscc/full-record/WOS:001529758400002","View Record in Web of Science")</f>
        <v>View Record in Web of Science</v>
      </c>
      <c r="AD7" t="s">
        <v>47</v>
      </c>
      <c r="AE7" t="s">
        <v>47</v>
      </c>
      <c r="AF7" t="s">
        <v>47</v>
      </c>
      <c r="AG7" t="s">
        <v>54</v>
      </c>
    </row>
    <row r="8" spans="1:34">
      <c r="A8" t="s">
        <v>34</v>
      </c>
      <c r="B8" t="s">
        <v>133</v>
      </c>
      <c r="C8" t="s">
        <v>134</v>
      </c>
      <c r="D8" t="s">
        <v>135</v>
      </c>
      <c r="E8" t="s">
        <v>136</v>
      </c>
      <c r="F8" t="s">
        <v>137</v>
      </c>
      <c r="G8" t="s">
        <v>138</v>
      </c>
      <c r="H8" t="s">
        <v>139</v>
      </c>
      <c r="I8" t="s">
        <v>140</v>
      </c>
      <c r="J8" t="s">
        <v>141</v>
      </c>
      <c r="K8" t="s">
        <v>142</v>
      </c>
      <c r="L8" t="s">
        <v>143</v>
      </c>
      <c r="M8" t="s">
        <v>144</v>
      </c>
      <c r="N8" t="s">
        <v>145</v>
      </c>
      <c r="O8" t="s">
        <v>47</v>
      </c>
      <c r="P8" t="s">
        <v>47</v>
      </c>
      <c r="Q8" t="s">
        <v>47</v>
      </c>
      <c r="R8" t="s">
        <v>47</v>
      </c>
      <c r="S8" t="s">
        <v>146</v>
      </c>
      <c r="T8" t="s">
        <v>147</v>
      </c>
      <c r="U8" t="s">
        <v>47</v>
      </c>
      <c r="V8" t="s">
        <v>148</v>
      </c>
      <c r="W8" s="1" t="str">
        <f>HYPERLINK("http://dx.doi.org/10.1016/j.jeem.2011.05.002","http://dx.doi.org/10.1016/j.jeem.2011.05.002")</f>
        <v>http://dx.doi.org/10.1016/j.jeem.2011.05.002</v>
      </c>
      <c r="X8" t="s">
        <v>47</v>
      </c>
      <c r="Y8" t="s">
        <v>47</v>
      </c>
      <c r="Z8" t="s">
        <v>149</v>
      </c>
      <c r="AA8" t="s">
        <v>47</v>
      </c>
      <c r="AB8" t="s">
        <v>150</v>
      </c>
      <c r="AC8" s="1" t="str">
        <f>HYPERLINK("https://www.webofscience.com/wos/woscc/full-record/WOS:000298622000004","View Record in Web of Science")</f>
        <v>View Record in Web of Science</v>
      </c>
      <c r="AD8" t="s">
        <v>47</v>
      </c>
      <c r="AE8" t="s">
        <v>47</v>
      </c>
      <c r="AF8" t="s">
        <v>47</v>
      </c>
      <c r="AG8" t="s">
        <v>54</v>
      </c>
    </row>
    <row r="9" spans="1:34">
      <c r="A9" t="s">
        <v>34</v>
      </c>
      <c r="B9" t="s">
        <v>151</v>
      </c>
      <c r="C9" t="s">
        <v>152</v>
      </c>
      <c r="D9" t="s">
        <v>153</v>
      </c>
      <c r="E9" t="s">
        <v>154</v>
      </c>
      <c r="F9" t="s">
        <v>155</v>
      </c>
      <c r="G9" t="s">
        <v>156</v>
      </c>
      <c r="H9" t="s">
        <v>157</v>
      </c>
      <c r="I9" t="s">
        <v>158</v>
      </c>
      <c r="J9" t="s">
        <v>159</v>
      </c>
      <c r="K9" t="s">
        <v>160</v>
      </c>
      <c r="L9" t="s">
        <v>160</v>
      </c>
      <c r="M9" t="s">
        <v>161</v>
      </c>
      <c r="N9" t="s">
        <v>47</v>
      </c>
      <c r="O9" t="s">
        <v>47</v>
      </c>
      <c r="P9" t="s">
        <v>47</v>
      </c>
      <c r="Q9" t="s">
        <v>66</v>
      </c>
      <c r="R9" t="s">
        <v>47</v>
      </c>
      <c r="S9" t="s">
        <v>162</v>
      </c>
      <c r="T9" t="s">
        <v>163</v>
      </c>
      <c r="U9" t="s">
        <v>47</v>
      </c>
      <c r="V9" t="s">
        <v>164</v>
      </c>
      <c r="W9" s="1" t="str">
        <f>HYPERLINK("http://dx.doi.org/10.1016/j.eneco.2009.06.016","http://dx.doi.org/10.1016/j.eneco.2009.06.016")</f>
        <v>http://dx.doi.org/10.1016/j.eneco.2009.06.016</v>
      </c>
      <c r="X9" t="s">
        <v>47</v>
      </c>
      <c r="Y9" t="s">
        <v>47</v>
      </c>
      <c r="Z9" t="s">
        <v>149</v>
      </c>
      <c r="AA9" t="s">
        <v>47</v>
      </c>
      <c r="AB9" t="s">
        <v>165</v>
      </c>
      <c r="AC9" s="1" t="str">
        <f>HYPERLINK("https://www.webofscience.com/wos/woscc/full-record/WOS:000273377900017","View Record in Web of Science")</f>
        <v>View Record in Web of Science</v>
      </c>
      <c r="AD9" t="s">
        <v>47</v>
      </c>
      <c r="AE9" t="s">
        <v>47</v>
      </c>
      <c r="AF9" t="s">
        <v>47</v>
      </c>
      <c r="AG9" t="s">
        <v>54</v>
      </c>
    </row>
    <row r="10" spans="1:34">
      <c r="A10" t="s">
        <v>34</v>
      </c>
      <c r="B10" t="s">
        <v>166</v>
      </c>
      <c r="C10" t="s">
        <v>167</v>
      </c>
      <c r="D10" t="s">
        <v>168</v>
      </c>
      <c r="E10" t="s">
        <v>76</v>
      </c>
      <c r="F10" t="s">
        <v>169</v>
      </c>
      <c r="G10" t="s">
        <v>170</v>
      </c>
      <c r="H10" t="s">
        <v>171</v>
      </c>
      <c r="I10" t="s">
        <v>80</v>
      </c>
      <c r="J10" t="s">
        <v>81</v>
      </c>
      <c r="K10" t="s">
        <v>172</v>
      </c>
      <c r="L10" t="s">
        <v>45</v>
      </c>
      <c r="M10" t="s">
        <v>173</v>
      </c>
      <c r="N10" t="s">
        <v>47</v>
      </c>
      <c r="O10" t="s">
        <v>47</v>
      </c>
      <c r="P10" t="s">
        <v>47</v>
      </c>
      <c r="Q10" t="s">
        <v>47</v>
      </c>
      <c r="R10" t="s">
        <v>47</v>
      </c>
      <c r="S10" t="s">
        <v>47</v>
      </c>
      <c r="T10" t="s">
        <v>47</v>
      </c>
      <c r="U10" t="s">
        <v>174</v>
      </c>
      <c r="V10" t="s">
        <v>175</v>
      </c>
      <c r="W10" s="1" t="str">
        <f>HYPERLINK("http://dx.doi.org/10.1016/j.cie.2024.110423","http://dx.doi.org/10.1016/j.cie.2024.110423")</f>
        <v>http://dx.doi.org/10.1016/j.cie.2024.110423</v>
      </c>
      <c r="X10" t="s">
        <v>47</v>
      </c>
      <c r="Y10" t="s">
        <v>176</v>
      </c>
      <c r="Z10" t="s">
        <v>52</v>
      </c>
      <c r="AA10" t="s">
        <v>47</v>
      </c>
      <c r="AB10" t="s">
        <v>177</v>
      </c>
      <c r="AC10" s="1" t="str">
        <f>HYPERLINK("https://www.webofscience.com/wos/woscc/full-record/WOS:001289611100001","View Record in Web of Science")</f>
        <v>View Record in Web of Science</v>
      </c>
      <c r="AD10" t="s">
        <v>47</v>
      </c>
      <c r="AE10" t="s">
        <v>47</v>
      </c>
      <c r="AF10" t="s">
        <v>47</v>
      </c>
      <c r="AG10" t="s">
        <v>54</v>
      </c>
    </row>
    <row r="11" spans="1:34">
      <c r="A11" t="s">
        <v>34</v>
      </c>
      <c r="B11" t="s">
        <v>178</v>
      </c>
      <c r="C11" t="s">
        <v>179</v>
      </c>
      <c r="D11" t="s">
        <v>180</v>
      </c>
      <c r="E11" t="s">
        <v>181</v>
      </c>
      <c r="F11" t="s">
        <v>182</v>
      </c>
      <c r="G11" t="s">
        <v>183</v>
      </c>
      <c r="H11" t="s">
        <v>184</v>
      </c>
      <c r="I11" t="s">
        <v>185</v>
      </c>
      <c r="J11" t="s">
        <v>186</v>
      </c>
      <c r="K11" t="s">
        <v>187</v>
      </c>
      <c r="L11" t="s">
        <v>188</v>
      </c>
      <c r="M11" t="s">
        <v>189</v>
      </c>
      <c r="N11" t="s">
        <v>145</v>
      </c>
      <c r="O11" t="s">
        <v>47</v>
      </c>
      <c r="P11" t="s">
        <v>47</v>
      </c>
      <c r="Q11" t="s">
        <v>47</v>
      </c>
      <c r="R11" t="s">
        <v>47</v>
      </c>
      <c r="S11" t="s">
        <v>190</v>
      </c>
      <c r="T11" t="s">
        <v>191</v>
      </c>
      <c r="U11" t="s">
        <v>47</v>
      </c>
      <c r="V11" t="s">
        <v>192</v>
      </c>
      <c r="W11" s="1" t="str">
        <f>HYPERLINK("http://dx.doi.org/10.1007/s41660-025-00558-z","http://dx.doi.org/10.1007/s41660-025-00558-z")</f>
        <v>http://dx.doi.org/10.1007/s41660-025-00558-z</v>
      </c>
      <c r="X11" t="s">
        <v>47</v>
      </c>
      <c r="Y11" t="s">
        <v>193</v>
      </c>
      <c r="Z11" t="s">
        <v>194</v>
      </c>
      <c r="AA11" t="s">
        <v>47</v>
      </c>
      <c r="AB11" t="s">
        <v>195</v>
      </c>
      <c r="AC11" s="1" t="str">
        <f>HYPERLINK("https://www.webofscience.com/wos/woscc/full-record/WOS:001545993000001","View Record in Web of Science")</f>
        <v>View Record in Web of Science</v>
      </c>
      <c r="AD11" t="s">
        <v>47</v>
      </c>
      <c r="AE11" t="s">
        <v>47</v>
      </c>
      <c r="AF11" t="s">
        <v>47</v>
      </c>
      <c r="AG11" t="s">
        <v>54</v>
      </c>
    </row>
    <row r="12" spans="1:34">
      <c r="A12" t="s">
        <v>34</v>
      </c>
      <c r="B12" t="s">
        <v>196</v>
      </c>
      <c r="C12" t="s">
        <v>197</v>
      </c>
      <c r="D12" t="s">
        <v>198</v>
      </c>
      <c r="E12" t="s">
        <v>199</v>
      </c>
      <c r="F12" t="s">
        <v>200</v>
      </c>
      <c r="G12" t="s">
        <v>47</v>
      </c>
      <c r="H12" t="s">
        <v>47</v>
      </c>
      <c r="I12" t="s">
        <v>201</v>
      </c>
      <c r="J12" t="s">
        <v>47</v>
      </c>
      <c r="K12" t="s">
        <v>202</v>
      </c>
      <c r="L12" t="s">
        <v>127</v>
      </c>
      <c r="M12" t="s">
        <v>203</v>
      </c>
      <c r="N12" t="s">
        <v>145</v>
      </c>
      <c r="O12" t="s">
        <v>47</v>
      </c>
      <c r="P12" t="s">
        <v>47</v>
      </c>
      <c r="Q12" t="s">
        <v>47</v>
      </c>
      <c r="R12" t="s">
        <v>47</v>
      </c>
      <c r="S12" t="s">
        <v>47</v>
      </c>
      <c r="T12" t="s">
        <v>47</v>
      </c>
      <c r="U12" t="s">
        <v>204</v>
      </c>
      <c r="V12" t="s">
        <v>205</v>
      </c>
      <c r="W12" s="1" t="str">
        <f>HYPERLINK("http://dx.doi.org/10.1038/s41598-025-30391-w","http://dx.doi.org/10.1038/s41598-025-30391-w")</f>
        <v>http://dx.doi.org/10.1038/s41598-025-30391-w</v>
      </c>
      <c r="X12" t="s">
        <v>47</v>
      </c>
      <c r="Y12" t="s">
        <v>47</v>
      </c>
      <c r="Z12" t="s">
        <v>52</v>
      </c>
      <c r="AA12" t="s">
        <v>206</v>
      </c>
      <c r="AB12" t="s">
        <v>207</v>
      </c>
      <c r="AC12" s="1" t="str">
        <f>HYPERLINK("https://www.webofscience.com/wos/woscc/full-record/WOS:001656484100001","View Record in Web of Science")</f>
        <v>View Record in Web of Science</v>
      </c>
      <c r="AD12" t="s">
        <v>47</v>
      </c>
      <c r="AE12" t="s">
        <v>47</v>
      </c>
      <c r="AF12" t="s">
        <v>47</v>
      </c>
      <c r="AG12" t="s">
        <v>54</v>
      </c>
    </row>
    <row r="13" spans="1:34">
      <c r="A13" t="s">
        <v>34</v>
      </c>
      <c r="B13" t="s">
        <v>208</v>
      </c>
      <c r="C13" t="s">
        <v>209</v>
      </c>
      <c r="D13" t="s">
        <v>210</v>
      </c>
      <c r="E13" t="s">
        <v>211</v>
      </c>
      <c r="F13" t="s">
        <v>212</v>
      </c>
      <c r="G13" t="s">
        <v>213</v>
      </c>
      <c r="H13" t="s">
        <v>214</v>
      </c>
      <c r="I13" t="s">
        <v>215</v>
      </c>
      <c r="J13" t="s">
        <v>216</v>
      </c>
      <c r="K13" t="s">
        <v>217</v>
      </c>
      <c r="L13" t="s">
        <v>127</v>
      </c>
      <c r="M13" t="s">
        <v>218</v>
      </c>
      <c r="N13" t="s">
        <v>47</v>
      </c>
      <c r="O13" t="s">
        <v>47</v>
      </c>
      <c r="P13" t="s">
        <v>47</v>
      </c>
      <c r="Q13" t="s">
        <v>47</v>
      </c>
      <c r="R13" t="s">
        <v>47</v>
      </c>
      <c r="S13" t="s">
        <v>47</v>
      </c>
      <c r="T13" t="s">
        <v>47</v>
      </c>
      <c r="U13" t="s">
        <v>219</v>
      </c>
      <c r="V13" t="s">
        <v>220</v>
      </c>
      <c r="W13" s="1" t="str">
        <f>HYPERLINK("http://dx.doi.org/10.1017/S1365100525100424","http://dx.doi.org/10.1017/S1365100525100424")</f>
        <v>http://dx.doi.org/10.1017/S1365100525100424</v>
      </c>
      <c r="X13" t="s">
        <v>47</v>
      </c>
      <c r="Y13" t="s">
        <v>47</v>
      </c>
      <c r="Z13" t="s">
        <v>149</v>
      </c>
      <c r="AA13" t="s">
        <v>47</v>
      </c>
      <c r="AB13" t="s">
        <v>221</v>
      </c>
      <c r="AC13" s="1" t="str">
        <f>HYPERLINK("https://www.webofscience.com/wos/woscc/full-record/WOS:001551850400001","View Record in Web of Science")</f>
        <v>View Record in Web of Science</v>
      </c>
      <c r="AD13" t="s">
        <v>47</v>
      </c>
      <c r="AE13" t="s">
        <v>47</v>
      </c>
      <c r="AF13" t="s">
        <v>47</v>
      </c>
      <c r="AG13" t="s">
        <v>54</v>
      </c>
    </row>
    <row r="14" spans="1:34">
      <c r="A14" t="s">
        <v>34</v>
      </c>
      <c r="B14" t="s">
        <v>222</v>
      </c>
      <c r="C14" t="s">
        <v>223</v>
      </c>
      <c r="D14" t="s">
        <v>224</v>
      </c>
      <c r="E14" t="s">
        <v>225</v>
      </c>
      <c r="F14" t="s">
        <v>226</v>
      </c>
      <c r="G14" t="s">
        <v>227</v>
      </c>
      <c r="H14" t="s">
        <v>228</v>
      </c>
      <c r="I14" t="s">
        <v>229</v>
      </c>
      <c r="J14" t="s">
        <v>230</v>
      </c>
      <c r="K14" t="s">
        <v>231</v>
      </c>
      <c r="L14" t="s">
        <v>45</v>
      </c>
      <c r="M14" t="s">
        <v>232</v>
      </c>
      <c r="N14" t="s">
        <v>47</v>
      </c>
      <c r="O14" t="s">
        <v>47</v>
      </c>
      <c r="P14" t="s">
        <v>47</v>
      </c>
      <c r="Q14" t="s">
        <v>47</v>
      </c>
      <c r="R14" t="s">
        <v>47</v>
      </c>
      <c r="S14" t="s">
        <v>47</v>
      </c>
      <c r="T14" t="s">
        <v>47</v>
      </c>
      <c r="U14" t="s">
        <v>233</v>
      </c>
      <c r="V14" t="s">
        <v>234</v>
      </c>
      <c r="W14" s="1" t="str">
        <f>HYPERLINK("http://dx.doi.org/10.1016/j.jclepro.2024.140584","http://dx.doi.org/10.1016/j.jclepro.2024.140584")</f>
        <v>http://dx.doi.org/10.1016/j.jclepro.2024.140584</v>
      </c>
      <c r="X14" t="s">
        <v>47</v>
      </c>
      <c r="Y14" t="s">
        <v>235</v>
      </c>
      <c r="Z14" t="s">
        <v>52</v>
      </c>
      <c r="AA14" t="s">
        <v>47</v>
      </c>
      <c r="AB14" t="s">
        <v>236</v>
      </c>
      <c r="AC14" s="1" t="str">
        <f>HYPERLINK("https://www.webofscience.com/wos/woscc/full-record/WOS:001154742300001","View Record in Web of Science")</f>
        <v>View Record in Web of Science</v>
      </c>
      <c r="AD14" t="s">
        <v>47</v>
      </c>
      <c r="AE14" t="s">
        <v>47</v>
      </c>
      <c r="AF14" t="s">
        <v>47</v>
      </c>
      <c r="AG14" t="s">
        <v>54</v>
      </c>
    </row>
    <row r="15" spans="1:34">
      <c r="A15" t="s">
        <v>34</v>
      </c>
      <c r="B15" t="s">
        <v>237</v>
      </c>
      <c r="C15" t="s">
        <v>238</v>
      </c>
      <c r="D15" t="s">
        <v>239</v>
      </c>
      <c r="E15" t="s">
        <v>225</v>
      </c>
      <c r="F15" t="s">
        <v>240</v>
      </c>
      <c r="G15" t="s">
        <v>241</v>
      </c>
      <c r="H15" t="s">
        <v>47</v>
      </c>
      <c r="I15" t="s">
        <v>229</v>
      </c>
      <c r="J15" t="s">
        <v>230</v>
      </c>
      <c r="K15" t="s">
        <v>242</v>
      </c>
      <c r="L15" t="s">
        <v>127</v>
      </c>
      <c r="M15" t="s">
        <v>243</v>
      </c>
      <c r="N15" t="s">
        <v>47</v>
      </c>
      <c r="O15" t="s">
        <v>47</v>
      </c>
      <c r="P15" t="s">
        <v>47</v>
      </c>
      <c r="Q15" t="s">
        <v>47</v>
      </c>
      <c r="R15" t="s">
        <v>47</v>
      </c>
      <c r="S15" t="s">
        <v>47</v>
      </c>
      <c r="T15" t="s">
        <v>47</v>
      </c>
      <c r="U15" t="s">
        <v>244</v>
      </c>
      <c r="V15" t="s">
        <v>245</v>
      </c>
      <c r="W15" s="1" t="str">
        <f>HYPERLINK("http://dx.doi.org/10.1016/j.jclepro.2025.145824","http://dx.doi.org/10.1016/j.jclepro.2025.145824")</f>
        <v>http://dx.doi.org/10.1016/j.jclepro.2025.145824</v>
      </c>
      <c r="X15" t="s">
        <v>47</v>
      </c>
      <c r="Y15" t="s">
        <v>246</v>
      </c>
      <c r="Z15" t="s">
        <v>52</v>
      </c>
      <c r="AA15" t="s">
        <v>47</v>
      </c>
      <c r="AB15" t="s">
        <v>247</v>
      </c>
      <c r="AC15" s="1" t="str">
        <f>HYPERLINK("https://www.webofscience.com/wos/woscc/full-record/WOS:001513384700004","View Record in Web of Science")</f>
        <v>View Record in Web of Science</v>
      </c>
      <c r="AD15" t="s">
        <v>47</v>
      </c>
      <c r="AE15" t="s">
        <v>47</v>
      </c>
      <c r="AF15" t="s">
        <v>47</v>
      </c>
      <c r="AG15" t="s">
        <v>54</v>
      </c>
    </row>
    <row r="16" spans="1:34">
      <c r="A16" t="s">
        <v>34</v>
      </c>
      <c r="B16" t="s">
        <v>248</v>
      </c>
      <c r="C16" t="s">
        <v>249</v>
      </c>
      <c r="D16" t="s">
        <v>250</v>
      </c>
      <c r="E16" t="s">
        <v>251</v>
      </c>
      <c r="F16" t="s">
        <v>252</v>
      </c>
      <c r="G16" t="s">
        <v>253</v>
      </c>
      <c r="H16" t="s">
        <v>254</v>
      </c>
      <c r="I16" t="s">
        <v>255</v>
      </c>
      <c r="J16" t="s">
        <v>256</v>
      </c>
      <c r="K16" t="s">
        <v>257</v>
      </c>
      <c r="L16" t="s">
        <v>64</v>
      </c>
      <c r="M16" t="s">
        <v>218</v>
      </c>
      <c r="N16" t="s">
        <v>258</v>
      </c>
      <c r="O16" t="s">
        <v>47</v>
      </c>
      <c r="P16" t="s">
        <v>47</v>
      </c>
      <c r="Q16" t="s">
        <v>47</v>
      </c>
      <c r="R16" t="s">
        <v>47</v>
      </c>
      <c r="S16" t="s">
        <v>259</v>
      </c>
      <c r="T16" t="s">
        <v>260</v>
      </c>
      <c r="U16" t="s">
        <v>47</v>
      </c>
      <c r="V16" t="s">
        <v>261</v>
      </c>
      <c r="W16" s="1" t="str">
        <f>HYPERLINK("http://dx.doi.org/10.1108/BIJ-05-2021-0254","http://dx.doi.org/10.1108/BIJ-05-2021-0254")</f>
        <v>http://dx.doi.org/10.1108/BIJ-05-2021-0254</v>
      </c>
      <c r="X16" t="s">
        <v>47</v>
      </c>
      <c r="Y16" t="s">
        <v>262</v>
      </c>
      <c r="Z16" t="s">
        <v>194</v>
      </c>
      <c r="AA16" t="s">
        <v>47</v>
      </c>
      <c r="AB16" t="s">
        <v>263</v>
      </c>
      <c r="AC16" s="1" t="str">
        <f>HYPERLINK("https://www.webofscience.com/wos/woscc/full-record/WOS:000711077700001","View Record in Web of Science")</f>
        <v>View Record in Web of Science</v>
      </c>
      <c r="AD16" t="s">
        <v>47</v>
      </c>
      <c r="AE16" t="s">
        <v>47</v>
      </c>
      <c r="AF16" t="s">
        <v>47</v>
      </c>
      <c r="AG16" t="s">
        <v>54</v>
      </c>
    </row>
    <row r="17" spans="1:33">
      <c r="A17" t="s">
        <v>34</v>
      </c>
      <c r="B17" t="s">
        <v>264</v>
      </c>
      <c r="C17" t="s">
        <v>265</v>
      </c>
      <c r="D17" t="s">
        <v>266</v>
      </c>
      <c r="E17" t="s">
        <v>267</v>
      </c>
      <c r="F17" t="s">
        <v>268</v>
      </c>
      <c r="G17" t="s">
        <v>47</v>
      </c>
      <c r="H17" t="s">
        <v>269</v>
      </c>
      <c r="I17" t="s">
        <v>47</v>
      </c>
      <c r="J17" t="s">
        <v>270</v>
      </c>
      <c r="K17" t="s">
        <v>271</v>
      </c>
      <c r="L17" t="s">
        <v>127</v>
      </c>
      <c r="M17" t="s">
        <v>272</v>
      </c>
      <c r="N17" t="s">
        <v>273</v>
      </c>
      <c r="O17" t="s">
        <v>47</v>
      </c>
      <c r="P17" t="s">
        <v>47</v>
      </c>
      <c r="Q17" t="s">
        <v>47</v>
      </c>
      <c r="R17" t="s">
        <v>47</v>
      </c>
      <c r="S17" t="s">
        <v>47</v>
      </c>
      <c r="T17" t="s">
        <v>47</v>
      </c>
      <c r="U17" t="s">
        <v>274</v>
      </c>
      <c r="V17" t="s">
        <v>275</v>
      </c>
      <c r="W17" s="1" t="str">
        <f>HYPERLINK("http://dx.doi.org/10.3390/su17031042","http://dx.doi.org/10.3390/su17031042")</f>
        <v>http://dx.doi.org/10.3390/su17031042</v>
      </c>
      <c r="X17" t="s">
        <v>47</v>
      </c>
      <c r="Y17" t="s">
        <v>47</v>
      </c>
      <c r="Z17" t="s">
        <v>86</v>
      </c>
      <c r="AA17" t="s">
        <v>47</v>
      </c>
      <c r="AB17" t="s">
        <v>276</v>
      </c>
      <c r="AC17" s="1" t="str">
        <f>HYPERLINK("https://www.webofscience.com/wos/woscc/full-record/WOS:001419383700001","View Record in Web of Science")</f>
        <v>View Record in Web of Science</v>
      </c>
      <c r="AD17" t="s">
        <v>47</v>
      </c>
      <c r="AE17" t="s">
        <v>47</v>
      </c>
      <c r="AF17" t="s">
        <v>47</v>
      </c>
      <c r="AG17" t="s">
        <v>54</v>
      </c>
    </row>
    <row r="18" spans="1:33">
      <c r="A18" t="s">
        <v>34</v>
      </c>
      <c r="B18" t="s">
        <v>277</v>
      </c>
      <c r="C18" t="s">
        <v>278</v>
      </c>
      <c r="D18" t="s">
        <v>279</v>
      </c>
      <c r="E18" t="s">
        <v>280</v>
      </c>
      <c r="F18" t="s">
        <v>281</v>
      </c>
      <c r="G18" t="s">
        <v>282</v>
      </c>
      <c r="H18" t="s">
        <v>283</v>
      </c>
      <c r="I18" t="s">
        <v>284</v>
      </c>
      <c r="J18" t="s">
        <v>47</v>
      </c>
      <c r="K18" t="s">
        <v>285</v>
      </c>
      <c r="L18" t="s">
        <v>127</v>
      </c>
      <c r="M18" t="s">
        <v>286</v>
      </c>
      <c r="N18" t="s">
        <v>273</v>
      </c>
      <c r="O18" t="s">
        <v>47</v>
      </c>
      <c r="P18" t="s">
        <v>47</v>
      </c>
      <c r="Q18" t="s">
        <v>47</v>
      </c>
      <c r="R18" t="s">
        <v>47</v>
      </c>
      <c r="S18" t="s">
        <v>47</v>
      </c>
      <c r="T18" t="s">
        <v>47</v>
      </c>
      <c r="U18" t="s">
        <v>287</v>
      </c>
      <c r="V18" t="s">
        <v>288</v>
      </c>
      <c r="W18" s="1" t="str">
        <f>HYPERLINK("http://dx.doi.org/10.1371/journal.pone.0318952","http://dx.doi.org/10.1371/journal.pone.0318952")</f>
        <v>http://dx.doi.org/10.1371/journal.pone.0318952</v>
      </c>
      <c r="X18" t="s">
        <v>47</v>
      </c>
      <c r="Y18" t="s">
        <v>47</v>
      </c>
      <c r="Z18" t="s">
        <v>52</v>
      </c>
      <c r="AA18" t="s">
        <v>289</v>
      </c>
      <c r="AB18" t="s">
        <v>290</v>
      </c>
      <c r="AC18" s="1" t="str">
        <f>HYPERLINK("https://www.webofscience.com/wos/woscc/full-record/WOS:001456751700016","View Record in Web of Science")</f>
        <v>View Record in Web of Science</v>
      </c>
      <c r="AD18" t="s">
        <v>47</v>
      </c>
      <c r="AE18" t="s">
        <v>47</v>
      </c>
      <c r="AF18" t="s">
        <v>47</v>
      </c>
      <c r="AG18" t="s">
        <v>54</v>
      </c>
    </row>
    <row r="19" spans="1:33">
      <c r="A19" t="s">
        <v>34</v>
      </c>
      <c r="B19" t="s">
        <v>291</v>
      </c>
      <c r="C19" t="s">
        <v>292</v>
      </c>
      <c r="D19" t="s">
        <v>293</v>
      </c>
      <c r="E19" t="s">
        <v>294</v>
      </c>
      <c r="F19" t="s">
        <v>295</v>
      </c>
      <c r="G19" t="s">
        <v>47</v>
      </c>
      <c r="H19" t="s">
        <v>47</v>
      </c>
      <c r="I19" t="s">
        <v>296</v>
      </c>
      <c r="J19" t="s">
        <v>297</v>
      </c>
      <c r="K19" t="s">
        <v>298</v>
      </c>
      <c r="L19" t="s">
        <v>127</v>
      </c>
      <c r="M19" t="s">
        <v>299</v>
      </c>
      <c r="N19" t="s">
        <v>47</v>
      </c>
      <c r="O19" t="s">
        <v>47</v>
      </c>
      <c r="P19" t="s">
        <v>47</v>
      </c>
      <c r="Q19" t="s">
        <v>47</v>
      </c>
      <c r="R19" t="s">
        <v>47</v>
      </c>
      <c r="S19" t="s">
        <v>47</v>
      </c>
      <c r="T19" t="s">
        <v>47</v>
      </c>
      <c r="U19" t="s">
        <v>300</v>
      </c>
      <c r="V19" t="s">
        <v>301</v>
      </c>
      <c r="W19" s="1" t="str">
        <f>HYPERLINK("http://dx.doi.org/10.1016/j.tre.2025.104384","http://dx.doi.org/10.1016/j.tre.2025.104384")</f>
        <v>http://dx.doi.org/10.1016/j.tre.2025.104384</v>
      </c>
      <c r="X19" t="s">
        <v>47</v>
      </c>
      <c r="Y19" t="s">
        <v>193</v>
      </c>
      <c r="Z19" t="s">
        <v>86</v>
      </c>
      <c r="AA19" t="s">
        <v>47</v>
      </c>
      <c r="AB19" t="s">
        <v>302</v>
      </c>
      <c r="AC19" s="1" t="str">
        <f>HYPERLINK("https://www.webofscience.com/wos/woscc/full-record/WOS:001560936800001","View Record in Web of Science")</f>
        <v>View Record in Web of Science</v>
      </c>
      <c r="AD19" t="s">
        <v>47</v>
      </c>
      <c r="AE19" t="s">
        <v>47</v>
      </c>
      <c r="AF19" t="s">
        <v>47</v>
      </c>
      <c r="AG19" t="s">
        <v>54</v>
      </c>
    </row>
    <row r="20" spans="1:33">
      <c r="A20" t="s">
        <v>34</v>
      </c>
      <c r="B20" t="s">
        <v>303</v>
      </c>
      <c r="C20" t="s">
        <v>304</v>
      </c>
      <c r="D20" t="s">
        <v>305</v>
      </c>
      <c r="E20" t="s">
        <v>306</v>
      </c>
      <c r="F20" t="s">
        <v>307</v>
      </c>
      <c r="G20" t="s">
        <v>308</v>
      </c>
      <c r="H20" t="s">
        <v>309</v>
      </c>
      <c r="I20" t="s">
        <v>47</v>
      </c>
      <c r="J20" t="s">
        <v>310</v>
      </c>
      <c r="K20" t="s">
        <v>246</v>
      </c>
      <c r="L20" t="s">
        <v>127</v>
      </c>
      <c r="M20" t="s">
        <v>189</v>
      </c>
      <c r="N20" t="s">
        <v>47</v>
      </c>
      <c r="O20" t="s">
        <v>47</v>
      </c>
      <c r="P20" t="s">
        <v>47</v>
      </c>
      <c r="Q20" t="s">
        <v>47</v>
      </c>
      <c r="R20" t="s">
        <v>47</v>
      </c>
      <c r="S20" t="s">
        <v>47</v>
      </c>
      <c r="T20" t="s">
        <v>47</v>
      </c>
      <c r="U20" t="s">
        <v>311</v>
      </c>
      <c r="V20" t="s">
        <v>312</v>
      </c>
      <c r="W20" s="1" t="str">
        <f>HYPERLINK("http://dx.doi.org/10.1016/j.sca.2025.100109","http://dx.doi.org/10.1016/j.sca.2025.100109")</f>
        <v>http://dx.doi.org/10.1016/j.sca.2025.100109</v>
      </c>
      <c r="X20" t="s">
        <v>47</v>
      </c>
      <c r="Y20" t="s">
        <v>271</v>
      </c>
      <c r="Z20" t="s">
        <v>194</v>
      </c>
      <c r="AA20" t="s">
        <v>47</v>
      </c>
      <c r="AB20" t="s">
        <v>313</v>
      </c>
      <c r="AC20" s="1" t="str">
        <f>HYPERLINK("https://www.webofscience.com/wos/woscc/full-record/WOS:001435448200001","View Record in Web of Science")</f>
        <v>View Record in Web of Science</v>
      </c>
      <c r="AD20" t="s">
        <v>47</v>
      </c>
      <c r="AE20" t="s">
        <v>47</v>
      </c>
      <c r="AF20" t="s">
        <v>47</v>
      </c>
      <c r="AG20" t="s">
        <v>54</v>
      </c>
    </row>
    <row r="21" spans="1:33">
      <c r="A21" t="s">
        <v>34</v>
      </c>
      <c r="B21" t="s">
        <v>314</v>
      </c>
      <c r="C21" t="s">
        <v>315</v>
      </c>
      <c r="D21" t="s">
        <v>316</v>
      </c>
      <c r="E21" t="s">
        <v>58</v>
      </c>
      <c r="F21" t="s">
        <v>317</v>
      </c>
      <c r="G21" t="s">
        <v>318</v>
      </c>
      <c r="H21" t="s">
        <v>319</v>
      </c>
      <c r="I21" t="s">
        <v>61</v>
      </c>
      <c r="J21" t="s">
        <v>62</v>
      </c>
      <c r="K21" t="s">
        <v>320</v>
      </c>
      <c r="L21" t="s">
        <v>127</v>
      </c>
      <c r="M21" t="s">
        <v>321</v>
      </c>
      <c r="N21" t="s">
        <v>145</v>
      </c>
      <c r="O21" t="s">
        <v>67</v>
      </c>
      <c r="P21" t="s">
        <v>47</v>
      </c>
      <c r="Q21" t="s">
        <v>47</v>
      </c>
      <c r="R21" t="s">
        <v>47</v>
      </c>
      <c r="S21" t="s">
        <v>322</v>
      </c>
      <c r="T21" t="s">
        <v>323</v>
      </c>
      <c r="U21" t="s">
        <v>47</v>
      </c>
      <c r="V21" t="s">
        <v>324</v>
      </c>
      <c r="W21" s="1" t="str">
        <f>HYPERLINK("http://dx.doi.org/10.1007/s10479-024-06013-5","http://dx.doi.org/10.1007/s10479-024-06013-5")</f>
        <v>http://dx.doi.org/10.1007/s10479-024-06013-5</v>
      </c>
      <c r="X21" t="s">
        <v>47</v>
      </c>
      <c r="Y21" t="s">
        <v>325</v>
      </c>
      <c r="Z21" t="s">
        <v>52</v>
      </c>
      <c r="AA21" t="s">
        <v>47</v>
      </c>
      <c r="AB21" t="s">
        <v>326</v>
      </c>
      <c r="AC21" s="1" t="str">
        <f>HYPERLINK("https://www.webofscience.com/wos/woscc/full-record/WOS:001226679900002","View Record in Web of Science")</f>
        <v>View Record in Web of Science</v>
      </c>
      <c r="AD21" t="s">
        <v>47</v>
      </c>
      <c r="AE21" t="s">
        <v>47</v>
      </c>
      <c r="AF21" t="s">
        <v>47</v>
      </c>
      <c r="AG21" t="s">
        <v>54</v>
      </c>
    </row>
    <row r="22" spans="1:33">
      <c r="A22" t="s">
        <v>34</v>
      </c>
      <c r="B22" t="s">
        <v>327</v>
      </c>
      <c r="C22" t="s">
        <v>328</v>
      </c>
      <c r="D22" t="s">
        <v>329</v>
      </c>
      <c r="E22" t="s">
        <v>91</v>
      </c>
      <c r="F22" t="s">
        <v>330</v>
      </c>
      <c r="G22" t="s">
        <v>78</v>
      </c>
      <c r="H22" t="s">
        <v>47</v>
      </c>
      <c r="I22" t="s">
        <v>94</v>
      </c>
      <c r="J22" t="s">
        <v>95</v>
      </c>
      <c r="K22" t="s">
        <v>331</v>
      </c>
      <c r="L22" t="s">
        <v>45</v>
      </c>
      <c r="M22" t="s">
        <v>286</v>
      </c>
      <c r="N22" t="s">
        <v>273</v>
      </c>
      <c r="O22" t="s">
        <v>47</v>
      </c>
      <c r="P22" t="s">
        <v>47</v>
      </c>
      <c r="Q22" t="s">
        <v>47</v>
      </c>
      <c r="R22" t="s">
        <v>47</v>
      </c>
      <c r="S22" t="s">
        <v>332</v>
      </c>
      <c r="T22" t="s">
        <v>333</v>
      </c>
      <c r="U22" t="s">
        <v>47</v>
      </c>
      <c r="V22" t="s">
        <v>334</v>
      </c>
      <c r="W22" s="1" t="str">
        <f>HYPERLINK("http://dx.doi.org/10.3934/jimo.2023123","http://dx.doi.org/10.3934/jimo.2023123")</f>
        <v>http://dx.doi.org/10.3934/jimo.2023123</v>
      </c>
      <c r="X22" t="s">
        <v>47</v>
      </c>
      <c r="Y22" t="s">
        <v>335</v>
      </c>
      <c r="Z22" t="s">
        <v>52</v>
      </c>
      <c r="AA22" t="s">
        <v>47</v>
      </c>
      <c r="AB22" t="s">
        <v>336</v>
      </c>
      <c r="AC22" s="1" t="str">
        <f>HYPERLINK("https://www.webofscience.com/wos/woscc/full-record/WOS:001074169100001","View Record in Web of Science")</f>
        <v>View Record in Web of Science</v>
      </c>
      <c r="AD22" t="s">
        <v>47</v>
      </c>
      <c r="AE22" t="s">
        <v>47</v>
      </c>
      <c r="AF22" t="s">
        <v>47</v>
      </c>
      <c r="AG22" t="s">
        <v>54</v>
      </c>
    </row>
    <row r="23" spans="1:33">
      <c r="A23" t="s">
        <v>34</v>
      </c>
      <c r="B23" t="s">
        <v>337</v>
      </c>
      <c r="C23" t="s">
        <v>338</v>
      </c>
      <c r="D23" t="s">
        <v>339</v>
      </c>
      <c r="E23" t="s">
        <v>267</v>
      </c>
      <c r="F23" t="s">
        <v>340</v>
      </c>
      <c r="G23" t="s">
        <v>341</v>
      </c>
      <c r="H23" t="s">
        <v>342</v>
      </c>
      <c r="I23" t="s">
        <v>47</v>
      </c>
      <c r="J23" t="s">
        <v>270</v>
      </c>
      <c r="K23" t="s">
        <v>343</v>
      </c>
      <c r="L23" t="s">
        <v>127</v>
      </c>
      <c r="M23" t="s">
        <v>272</v>
      </c>
      <c r="N23" t="s">
        <v>98</v>
      </c>
      <c r="O23" t="s">
        <v>47</v>
      </c>
      <c r="P23" t="s">
        <v>47</v>
      </c>
      <c r="Q23" t="s">
        <v>47</v>
      </c>
      <c r="R23" t="s">
        <v>47</v>
      </c>
      <c r="S23" t="s">
        <v>47</v>
      </c>
      <c r="T23" t="s">
        <v>47</v>
      </c>
      <c r="U23" t="s">
        <v>344</v>
      </c>
      <c r="V23" t="s">
        <v>345</v>
      </c>
      <c r="W23" s="1" t="str">
        <f>HYPERLINK("http://dx.doi.org/10.3390/su17198951","http://dx.doi.org/10.3390/su17198951")</f>
        <v>http://dx.doi.org/10.3390/su17198951</v>
      </c>
      <c r="X23" t="s">
        <v>47</v>
      </c>
      <c r="Y23" t="s">
        <v>47</v>
      </c>
      <c r="Z23" t="s">
        <v>86</v>
      </c>
      <c r="AA23" t="s">
        <v>47</v>
      </c>
      <c r="AB23" t="s">
        <v>346</v>
      </c>
      <c r="AC23" s="1" t="str">
        <f>HYPERLINK("https://www.webofscience.com/wos/woscc/full-record/WOS:001593868800001","View Record in Web of Science")</f>
        <v>View Record in Web of Science</v>
      </c>
      <c r="AD23" t="s">
        <v>47</v>
      </c>
      <c r="AE23" t="s">
        <v>47</v>
      </c>
      <c r="AF23" t="s">
        <v>47</v>
      </c>
      <c r="AG23" t="s">
        <v>54</v>
      </c>
    </row>
    <row r="24" spans="1:33">
      <c r="A24" t="s">
        <v>34</v>
      </c>
      <c r="B24" t="s">
        <v>347</v>
      </c>
      <c r="C24" t="s">
        <v>348</v>
      </c>
      <c r="D24" t="s">
        <v>349</v>
      </c>
      <c r="E24" t="s">
        <v>91</v>
      </c>
      <c r="F24" t="s">
        <v>350</v>
      </c>
      <c r="G24" t="s">
        <v>351</v>
      </c>
      <c r="H24" t="s">
        <v>352</v>
      </c>
      <c r="I24" t="s">
        <v>94</v>
      </c>
      <c r="J24" t="s">
        <v>95</v>
      </c>
      <c r="K24" t="s">
        <v>353</v>
      </c>
      <c r="L24" t="s">
        <v>97</v>
      </c>
      <c r="M24" t="s">
        <v>98</v>
      </c>
      <c r="N24" t="s">
        <v>145</v>
      </c>
      <c r="O24" t="s">
        <v>47</v>
      </c>
      <c r="P24" t="s">
        <v>47</v>
      </c>
      <c r="Q24" t="s">
        <v>47</v>
      </c>
      <c r="R24" t="s">
        <v>47</v>
      </c>
      <c r="S24" t="s">
        <v>354</v>
      </c>
      <c r="T24" t="s">
        <v>355</v>
      </c>
      <c r="U24" t="s">
        <v>47</v>
      </c>
      <c r="V24" t="s">
        <v>356</v>
      </c>
      <c r="W24" s="1" t="str">
        <f>HYPERLINK("http://dx.doi.org/10.3934/jimo.2021181","http://dx.doi.org/10.3934/jimo.2021181")</f>
        <v>http://dx.doi.org/10.3934/jimo.2021181</v>
      </c>
      <c r="X24" t="s">
        <v>47</v>
      </c>
      <c r="Y24" t="s">
        <v>262</v>
      </c>
      <c r="Z24" t="s">
        <v>52</v>
      </c>
      <c r="AA24" t="s">
        <v>47</v>
      </c>
      <c r="AB24" t="s">
        <v>357</v>
      </c>
      <c r="AC24" s="1" t="str">
        <f>HYPERLINK("https://www.webofscience.com/wos/woscc/full-record/WOS:000710117000001","View Record in Web of Science")</f>
        <v>View Record in Web of Science</v>
      </c>
      <c r="AD24" t="s">
        <v>47</v>
      </c>
      <c r="AE24" t="s">
        <v>47</v>
      </c>
      <c r="AF24" t="s">
        <v>47</v>
      </c>
      <c r="AG24" t="s">
        <v>54</v>
      </c>
    </row>
    <row r="25" spans="1:33">
      <c r="A25" t="s">
        <v>34</v>
      </c>
      <c r="B25" t="s">
        <v>358</v>
      </c>
      <c r="C25" t="s">
        <v>359</v>
      </c>
      <c r="D25" t="s">
        <v>360</v>
      </c>
      <c r="E25" t="s">
        <v>361</v>
      </c>
      <c r="F25" t="s">
        <v>362</v>
      </c>
      <c r="G25" t="s">
        <v>363</v>
      </c>
      <c r="H25" t="s">
        <v>364</v>
      </c>
      <c r="I25" t="s">
        <v>365</v>
      </c>
      <c r="J25" t="s">
        <v>47</v>
      </c>
      <c r="K25" t="s">
        <v>366</v>
      </c>
      <c r="L25" t="s">
        <v>366</v>
      </c>
      <c r="M25" t="s">
        <v>189</v>
      </c>
      <c r="N25" t="s">
        <v>66</v>
      </c>
      <c r="O25" t="s">
        <v>47</v>
      </c>
      <c r="P25" t="s">
        <v>47</v>
      </c>
      <c r="Q25" t="s">
        <v>47</v>
      </c>
      <c r="R25" t="s">
        <v>47</v>
      </c>
      <c r="S25" t="s">
        <v>47</v>
      </c>
      <c r="T25" t="s">
        <v>47</v>
      </c>
      <c r="U25" t="s">
        <v>367</v>
      </c>
      <c r="V25" t="s">
        <v>47</v>
      </c>
      <c r="W25" t="s">
        <v>47</v>
      </c>
      <c r="X25" t="s">
        <v>47</v>
      </c>
      <c r="Y25" t="s">
        <v>47</v>
      </c>
      <c r="Z25" t="s">
        <v>149</v>
      </c>
      <c r="AA25" t="s">
        <v>47</v>
      </c>
      <c r="AB25" t="s">
        <v>368</v>
      </c>
      <c r="AC25" s="1" t="str">
        <f>HYPERLINK("https://www.webofscience.com/wos/woscc/full-record/WOS:000285831900002","View Record in Web of Science")</f>
        <v>View Record in Web of Science</v>
      </c>
      <c r="AD25" t="s">
        <v>47</v>
      </c>
      <c r="AE25" t="s">
        <v>47</v>
      </c>
      <c r="AF25" t="s">
        <v>47</v>
      </c>
      <c r="AG25" t="s">
        <v>54</v>
      </c>
    </row>
    <row r="26" spans="1:33">
      <c r="A26" t="s">
        <v>34</v>
      </c>
      <c r="B26" t="s">
        <v>369</v>
      </c>
      <c r="C26" t="s">
        <v>370</v>
      </c>
      <c r="D26" t="s">
        <v>371</v>
      </c>
      <c r="E26" t="s">
        <v>225</v>
      </c>
      <c r="F26" t="s">
        <v>372</v>
      </c>
      <c r="G26" t="s">
        <v>373</v>
      </c>
      <c r="H26" t="s">
        <v>47</v>
      </c>
      <c r="I26" t="s">
        <v>229</v>
      </c>
      <c r="J26" t="s">
        <v>230</v>
      </c>
      <c r="K26" t="s">
        <v>374</v>
      </c>
      <c r="L26" t="s">
        <v>188</v>
      </c>
      <c r="M26" t="s">
        <v>375</v>
      </c>
      <c r="N26" t="s">
        <v>47</v>
      </c>
      <c r="O26" t="s">
        <v>47</v>
      </c>
      <c r="P26" t="s">
        <v>47</v>
      </c>
      <c r="Q26" t="s">
        <v>47</v>
      </c>
      <c r="R26" t="s">
        <v>47</v>
      </c>
      <c r="S26" t="s">
        <v>47</v>
      </c>
      <c r="T26" t="s">
        <v>47</v>
      </c>
      <c r="U26" t="s">
        <v>376</v>
      </c>
      <c r="V26" t="s">
        <v>377</v>
      </c>
      <c r="W26" s="1" t="str">
        <f>HYPERLINK("http://dx.doi.org/10.1016/j.jclepro.2026.147775","http://dx.doi.org/10.1016/j.jclepro.2026.147775")</f>
        <v>http://dx.doi.org/10.1016/j.jclepro.2026.147775</v>
      </c>
      <c r="X26" t="s">
        <v>47</v>
      </c>
      <c r="Y26" t="s">
        <v>378</v>
      </c>
      <c r="Z26" t="s">
        <v>52</v>
      </c>
      <c r="AA26" t="s">
        <v>47</v>
      </c>
      <c r="AB26" t="s">
        <v>379</v>
      </c>
      <c r="AC26" s="1" t="str">
        <f>HYPERLINK("https://www.webofscience.com/wos/woscc/full-record/WOS:001705895400001","View Record in Web of Science")</f>
        <v>View Record in Web of Science</v>
      </c>
      <c r="AD26" t="s">
        <v>47</v>
      </c>
      <c r="AE26" t="s">
        <v>47</v>
      </c>
      <c r="AF26" t="s">
        <v>47</v>
      </c>
      <c r="AG26" t="s">
        <v>54</v>
      </c>
    </row>
    <row r="27" spans="1:33">
      <c r="A27" t="s">
        <v>34</v>
      </c>
      <c r="B27" t="s">
        <v>380</v>
      </c>
      <c r="C27" t="s">
        <v>381</v>
      </c>
      <c r="D27" t="s">
        <v>382</v>
      </c>
      <c r="E27" t="s">
        <v>181</v>
      </c>
      <c r="F27" t="s">
        <v>383</v>
      </c>
      <c r="G27" t="s">
        <v>384</v>
      </c>
      <c r="H27" t="s">
        <v>47</v>
      </c>
      <c r="I27" t="s">
        <v>185</v>
      </c>
      <c r="J27" t="s">
        <v>186</v>
      </c>
      <c r="K27" t="s">
        <v>47</v>
      </c>
      <c r="L27" t="s">
        <v>188</v>
      </c>
      <c r="M27" t="s">
        <v>47</v>
      </c>
      <c r="N27" t="s">
        <v>47</v>
      </c>
      <c r="O27" t="s">
        <v>47</v>
      </c>
      <c r="P27" t="s">
        <v>47</v>
      </c>
      <c r="Q27" t="s">
        <v>47</v>
      </c>
      <c r="R27" t="s">
        <v>47</v>
      </c>
      <c r="S27" t="s">
        <v>47</v>
      </c>
      <c r="T27" t="s">
        <v>47</v>
      </c>
      <c r="U27" t="s">
        <v>47</v>
      </c>
      <c r="V27" t="s">
        <v>385</v>
      </c>
      <c r="W27" s="1" t="str">
        <f>HYPERLINK("http://dx.doi.org/10.1007/s41660-026-00697-x","http://dx.doi.org/10.1007/s41660-026-00697-x")</f>
        <v>http://dx.doi.org/10.1007/s41660-026-00697-x</v>
      </c>
      <c r="X27" t="s">
        <v>47</v>
      </c>
      <c r="Y27" t="s">
        <v>378</v>
      </c>
      <c r="Z27" t="s">
        <v>194</v>
      </c>
      <c r="AA27" t="s">
        <v>47</v>
      </c>
      <c r="AB27" t="s">
        <v>386</v>
      </c>
      <c r="AC27" s="1" t="str">
        <f>HYPERLINK("https://www.webofscience.com/wos/woscc/full-record/WOS:001703462300001","View Record in Web of Science")</f>
        <v>View Record in Web of Science</v>
      </c>
      <c r="AD27" t="s">
        <v>47</v>
      </c>
      <c r="AE27" t="s">
        <v>47</v>
      </c>
      <c r="AF27" t="s">
        <v>47</v>
      </c>
      <c r="AG27" t="s">
        <v>54</v>
      </c>
    </row>
    <row r="28" spans="1:33">
      <c r="A28" t="s">
        <v>34</v>
      </c>
      <c r="B28" t="s">
        <v>387</v>
      </c>
      <c r="C28" t="s">
        <v>388</v>
      </c>
      <c r="D28" t="s">
        <v>389</v>
      </c>
      <c r="E28" t="s">
        <v>280</v>
      </c>
      <c r="F28" t="s">
        <v>390</v>
      </c>
      <c r="G28" t="s">
        <v>391</v>
      </c>
      <c r="H28" t="s">
        <v>47</v>
      </c>
      <c r="I28" t="s">
        <v>284</v>
      </c>
      <c r="J28" t="s">
        <v>47</v>
      </c>
      <c r="K28" t="s">
        <v>392</v>
      </c>
      <c r="L28" t="s">
        <v>97</v>
      </c>
      <c r="M28" t="s">
        <v>393</v>
      </c>
      <c r="N28" t="s">
        <v>394</v>
      </c>
      <c r="O28" t="s">
        <v>47</v>
      </c>
      <c r="P28" t="s">
        <v>47</v>
      </c>
      <c r="Q28" t="s">
        <v>47</v>
      </c>
      <c r="R28" t="s">
        <v>47</v>
      </c>
      <c r="S28" t="s">
        <v>47</v>
      </c>
      <c r="T28" t="s">
        <v>47</v>
      </c>
      <c r="U28" t="s">
        <v>395</v>
      </c>
      <c r="V28" t="s">
        <v>396</v>
      </c>
      <c r="W28" s="1" t="str">
        <f>HYPERLINK("http://dx.doi.org/10.1371/journal.pone.0287684","http://dx.doi.org/10.1371/journal.pone.0287684")</f>
        <v>http://dx.doi.org/10.1371/journal.pone.0287684</v>
      </c>
      <c r="X28" t="s">
        <v>47</v>
      </c>
      <c r="Y28" t="s">
        <v>47</v>
      </c>
      <c r="Z28" t="s">
        <v>52</v>
      </c>
      <c r="AA28" t="s">
        <v>397</v>
      </c>
      <c r="AB28" t="s">
        <v>398</v>
      </c>
      <c r="AC28" s="1" t="str">
        <f>HYPERLINK("https://www.webofscience.com/wos/woscc/full-record/WOS:001025429200069","View Record in Web of Science")</f>
        <v>View Record in Web of Science</v>
      </c>
      <c r="AD28" t="s">
        <v>47</v>
      </c>
      <c r="AE28" t="s">
        <v>47</v>
      </c>
      <c r="AF28" t="s">
        <v>47</v>
      </c>
      <c r="AG28" t="s">
        <v>54</v>
      </c>
    </row>
    <row r="29" spans="1:33">
      <c r="A29" t="s">
        <v>34</v>
      </c>
      <c r="B29" t="s">
        <v>399</v>
      </c>
      <c r="C29" t="s">
        <v>400</v>
      </c>
      <c r="D29" t="s">
        <v>401</v>
      </c>
      <c r="E29" t="s">
        <v>225</v>
      </c>
      <c r="F29" t="s">
        <v>402</v>
      </c>
      <c r="G29" t="s">
        <v>403</v>
      </c>
      <c r="H29" t="s">
        <v>404</v>
      </c>
      <c r="I29" t="s">
        <v>229</v>
      </c>
      <c r="J29" t="s">
        <v>230</v>
      </c>
      <c r="K29" t="s">
        <v>405</v>
      </c>
      <c r="L29" t="s">
        <v>64</v>
      </c>
      <c r="M29" t="s">
        <v>406</v>
      </c>
      <c r="N29" t="s">
        <v>47</v>
      </c>
      <c r="O29" t="s">
        <v>47</v>
      </c>
      <c r="P29" t="s">
        <v>47</v>
      </c>
      <c r="Q29" t="s">
        <v>47</v>
      </c>
      <c r="R29" t="s">
        <v>47</v>
      </c>
      <c r="S29" t="s">
        <v>47</v>
      </c>
      <c r="T29" t="s">
        <v>47</v>
      </c>
      <c r="U29" t="s">
        <v>407</v>
      </c>
      <c r="V29" t="s">
        <v>408</v>
      </c>
      <c r="W29" s="1" t="str">
        <f>HYPERLINK("http://dx.doi.org/10.1016/j.jclepro.2022.134060","http://dx.doi.org/10.1016/j.jclepro.2022.134060")</f>
        <v>http://dx.doi.org/10.1016/j.jclepro.2022.134060</v>
      </c>
      <c r="X29" t="s">
        <v>47</v>
      </c>
      <c r="Y29" t="s">
        <v>409</v>
      </c>
      <c r="Z29" t="s">
        <v>52</v>
      </c>
      <c r="AA29" t="s">
        <v>47</v>
      </c>
      <c r="AB29" t="s">
        <v>410</v>
      </c>
      <c r="AC29" s="1" t="str">
        <f>HYPERLINK("https://www.webofscience.com/wos/woscc/full-record/WOS:000862763200004","View Record in Web of Science")</f>
        <v>View Record in Web of Science</v>
      </c>
      <c r="AD29" t="s">
        <v>47</v>
      </c>
      <c r="AE29" t="s">
        <v>47</v>
      </c>
      <c r="AF29" t="s">
        <v>47</v>
      </c>
      <c r="AG29" t="s">
        <v>54</v>
      </c>
    </row>
    <row r="30" spans="1:33">
      <c r="A30" t="s">
        <v>34</v>
      </c>
      <c r="B30" t="s">
        <v>411</v>
      </c>
      <c r="C30" t="s">
        <v>412</v>
      </c>
      <c r="D30" t="s">
        <v>413</v>
      </c>
      <c r="E30" t="s">
        <v>414</v>
      </c>
      <c r="F30" t="s">
        <v>415</v>
      </c>
      <c r="G30" t="s">
        <v>416</v>
      </c>
      <c r="H30" t="s">
        <v>47</v>
      </c>
      <c r="I30" t="s">
        <v>417</v>
      </c>
      <c r="J30" t="s">
        <v>418</v>
      </c>
      <c r="K30" t="s">
        <v>419</v>
      </c>
      <c r="L30" t="s">
        <v>127</v>
      </c>
      <c r="M30" t="s">
        <v>420</v>
      </c>
      <c r="N30" t="s">
        <v>145</v>
      </c>
      <c r="O30" t="s">
        <v>47</v>
      </c>
      <c r="P30" t="s">
        <v>47</v>
      </c>
      <c r="Q30" t="s">
        <v>47</v>
      </c>
      <c r="R30" t="s">
        <v>47</v>
      </c>
      <c r="S30" t="s">
        <v>421</v>
      </c>
      <c r="T30" t="s">
        <v>422</v>
      </c>
      <c r="U30" t="s">
        <v>47</v>
      </c>
      <c r="V30" t="s">
        <v>423</v>
      </c>
      <c r="W30" s="1" t="str">
        <f>HYPERLINK("http://dx.doi.org/10.1007/s10668-023-03918-2","http://dx.doi.org/10.1007/s10668-023-03918-2")</f>
        <v>http://dx.doi.org/10.1007/s10668-023-03918-2</v>
      </c>
      <c r="X30" t="s">
        <v>47</v>
      </c>
      <c r="Y30" t="s">
        <v>424</v>
      </c>
      <c r="Z30" t="s">
        <v>52</v>
      </c>
      <c r="AA30" t="s">
        <v>47</v>
      </c>
      <c r="AB30" t="s">
        <v>425</v>
      </c>
      <c r="AC30" s="1" t="str">
        <f>HYPERLINK("https://www.webofscience.com/wos/woscc/full-record/WOS:001090276500002","View Record in Web of Science")</f>
        <v>View Record in Web of Science</v>
      </c>
      <c r="AD30" t="s">
        <v>47</v>
      </c>
      <c r="AE30" t="s">
        <v>47</v>
      </c>
      <c r="AF30" t="s">
        <v>47</v>
      </c>
      <c r="AG30" t="s">
        <v>54</v>
      </c>
    </row>
    <row r="31" spans="1:33">
      <c r="A31" t="s">
        <v>34</v>
      </c>
      <c r="B31" t="s">
        <v>426</v>
      </c>
      <c r="C31" t="s">
        <v>427</v>
      </c>
      <c r="D31" t="s">
        <v>428</v>
      </c>
      <c r="E31" t="s">
        <v>76</v>
      </c>
      <c r="F31" t="s">
        <v>429</v>
      </c>
      <c r="G31" t="s">
        <v>47</v>
      </c>
      <c r="H31" t="s">
        <v>430</v>
      </c>
      <c r="I31" t="s">
        <v>80</v>
      </c>
      <c r="J31" t="s">
        <v>81</v>
      </c>
      <c r="K31" t="s">
        <v>431</v>
      </c>
      <c r="L31" t="s">
        <v>188</v>
      </c>
      <c r="M31" t="s">
        <v>432</v>
      </c>
      <c r="N31" t="s">
        <v>47</v>
      </c>
      <c r="O31" t="s">
        <v>47</v>
      </c>
      <c r="P31" t="s">
        <v>47</v>
      </c>
      <c r="Q31" t="s">
        <v>47</v>
      </c>
      <c r="R31" t="s">
        <v>47</v>
      </c>
      <c r="S31" t="s">
        <v>47</v>
      </c>
      <c r="T31" t="s">
        <v>47</v>
      </c>
      <c r="U31" t="s">
        <v>433</v>
      </c>
      <c r="V31" t="s">
        <v>434</v>
      </c>
      <c r="W31" s="1" t="str">
        <f>HYPERLINK("http://dx.doi.org/10.1016/j.cie.2025.111528","http://dx.doi.org/10.1016/j.cie.2025.111528")</f>
        <v>http://dx.doi.org/10.1016/j.cie.2025.111528</v>
      </c>
      <c r="X31" t="s">
        <v>47</v>
      </c>
      <c r="Y31" t="s">
        <v>126</v>
      </c>
      <c r="Z31" t="s">
        <v>52</v>
      </c>
      <c r="AA31" t="s">
        <v>47</v>
      </c>
      <c r="AB31" t="s">
        <v>435</v>
      </c>
      <c r="AC31" s="1" t="str">
        <f>HYPERLINK("https://www.webofscience.com/wos/woscc/full-record/WOS:001597153800001","View Record in Web of Science")</f>
        <v>View Record in Web of Science</v>
      </c>
      <c r="AD31" t="s">
        <v>47</v>
      </c>
      <c r="AE31" t="s">
        <v>47</v>
      </c>
      <c r="AF31" t="s">
        <v>47</v>
      </c>
      <c r="AG31" t="s">
        <v>54</v>
      </c>
    </row>
    <row r="32" spans="1:33">
      <c r="A32" t="s">
        <v>34</v>
      </c>
      <c r="B32" t="s">
        <v>436</v>
      </c>
      <c r="C32" t="s">
        <v>437</v>
      </c>
      <c r="D32" t="s">
        <v>438</v>
      </c>
      <c r="E32" t="s">
        <v>439</v>
      </c>
      <c r="F32" t="s">
        <v>440</v>
      </c>
      <c r="G32" t="s">
        <v>47</v>
      </c>
      <c r="H32" t="s">
        <v>47</v>
      </c>
      <c r="I32" t="s">
        <v>441</v>
      </c>
      <c r="J32" t="s">
        <v>442</v>
      </c>
      <c r="K32" t="s">
        <v>187</v>
      </c>
      <c r="L32" t="s">
        <v>188</v>
      </c>
      <c r="M32" t="s">
        <v>443</v>
      </c>
      <c r="N32" t="s">
        <v>145</v>
      </c>
      <c r="O32" t="s">
        <v>47</v>
      </c>
      <c r="P32" t="s">
        <v>47</v>
      </c>
      <c r="Q32" t="s">
        <v>47</v>
      </c>
      <c r="R32" t="s">
        <v>47</v>
      </c>
      <c r="S32" t="s">
        <v>444</v>
      </c>
      <c r="T32" t="s">
        <v>445</v>
      </c>
      <c r="U32" t="s">
        <v>47</v>
      </c>
      <c r="V32" t="s">
        <v>446</v>
      </c>
      <c r="W32" s="1" t="str">
        <f>HYPERLINK("http://dx.doi.org/10.3808/jei.202600553","http://dx.doi.org/10.3808/jei.202600553")</f>
        <v>http://dx.doi.org/10.3808/jei.202600553</v>
      </c>
      <c r="X32" t="s">
        <v>47</v>
      </c>
      <c r="Y32" t="s">
        <v>187</v>
      </c>
      <c r="Z32" t="s">
        <v>52</v>
      </c>
      <c r="AA32" t="s">
        <v>47</v>
      </c>
      <c r="AB32" t="s">
        <v>447</v>
      </c>
      <c r="AC32" s="1" t="str">
        <f>HYPERLINK("https://www.webofscience.com/wos/woscc/full-record/WOS:001720145600001","View Record in Web of Science")</f>
        <v>View Record in Web of Science</v>
      </c>
      <c r="AD32" t="s">
        <v>47</v>
      </c>
      <c r="AE32" t="s">
        <v>47</v>
      </c>
      <c r="AF32" t="s">
        <v>47</v>
      </c>
      <c r="AG32" t="s">
        <v>54</v>
      </c>
    </row>
    <row r="33" spans="1:33">
      <c r="A33" t="s">
        <v>34</v>
      </c>
      <c r="B33" t="s">
        <v>448</v>
      </c>
      <c r="C33" t="s">
        <v>449</v>
      </c>
      <c r="D33" t="s">
        <v>450</v>
      </c>
      <c r="E33" t="s">
        <v>451</v>
      </c>
      <c r="F33" t="s">
        <v>452</v>
      </c>
      <c r="G33" t="s">
        <v>47</v>
      </c>
      <c r="H33" t="s">
        <v>453</v>
      </c>
      <c r="I33" t="s">
        <v>454</v>
      </c>
      <c r="J33" t="s">
        <v>455</v>
      </c>
      <c r="K33" t="s">
        <v>456</v>
      </c>
      <c r="L33" t="s">
        <v>143</v>
      </c>
      <c r="M33" t="s">
        <v>457</v>
      </c>
      <c r="N33" t="s">
        <v>115</v>
      </c>
      <c r="O33" t="s">
        <v>47</v>
      </c>
      <c r="P33" t="s">
        <v>47</v>
      </c>
      <c r="Q33" t="s">
        <v>47</v>
      </c>
      <c r="R33" t="s">
        <v>47</v>
      </c>
      <c r="S33" t="s">
        <v>458</v>
      </c>
      <c r="T33" t="s">
        <v>459</v>
      </c>
      <c r="U33" t="s">
        <v>47</v>
      </c>
      <c r="V33" t="s">
        <v>460</v>
      </c>
      <c r="W33" s="1" t="str">
        <f>HYPERLINK("http://dx.doi.org/10.1111/j.1465-7287.2011.00296.x","http://dx.doi.org/10.1111/j.1465-7287.2011.00296.x")</f>
        <v>http://dx.doi.org/10.1111/j.1465-7287.2011.00296.x</v>
      </c>
      <c r="X33" t="s">
        <v>47</v>
      </c>
      <c r="Y33" t="s">
        <v>47</v>
      </c>
      <c r="Z33" t="s">
        <v>149</v>
      </c>
      <c r="AA33" t="s">
        <v>47</v>
      </c>
      <c r="AB33" t="s">
        <v>461</v>
      </c>
      <c r="AC33" s="1" t="str">
        <f>HYPERLINK("https://www.webofscience.com/wos/woscc/full-record/WOS:000309601900009","View Record in Web of Science")</f>
        <v>View Record in Web of Science</v>
      </c>
      <c r="AD33" t="s">
        <v>47</v>
      </c>
      <c r="AE33" t="s">
        <v>47</v>
      </c>
      <c r="AF33" t="s">
        <v>47</v>
      </c>
      <c r="AG33" t="s">
        <v>54</v>
      </c>
    </row>
    <row r="34" spans="1:33">
      <c r="A34" t="s">
        <v>34</v>
      </c>
      <c r="B34" t="s">
        <v>462</v>
      </c>
      <c r="C34" t="s">
        <v>463</v>
      </c>
      <c r="D34" t="s">
        <v>464</v>
      </c>
      <c r="E34" t="s">
        <v>225</v>
      </c>
      <c r="F34" t="s">
        <v>465</v>
      </c>
      <c r="G34" t="s">
        <v>466</v>
      </c>
      <c r="H34" t="s">
        <v>467</v>
      </c>
      <c r="I34" t="s">
        <v>229</v>
      </c>
      <c r="J34" t="s">
        <v>230</v>
      </c>
      <c r="K34" t="s">
        <v>468</v>
      </c>
      <c r="L34" t="s">
        <v>97</v>
      </c>
      <c r="M34" t="s">
        <v>469</v>
      </c>
      <c r="N34" t="s">
        <v>47</v>
      </c>
      <c r="O34" t="s">
        <v>47</v>
      </c>
      <c r="P34" t="s">
        <v>47</v>
      </c>
      <c r="Q34" t="s">
        <v>47</v>
      </c>
      <c r="R34" t="s">
        <v>47</v>
      </c>
      <c r="S34" t="s">
        <v>47</v>
      </c>
      <c r="T34" t="s">
        <v>47</v>
      </c>
      <c r="U34" t="s">
        <v>470</v>
      </c>
      <c r="V34" t="s">
        <v>471</v>
      </c>
      <c r="W34" s="1" t="str">
        <f>HYPERLINK("http://dx.doi.org/10.1016/j.jclepro.2023.139309","http://dx.doi.org/10.1016/j.jclepro.2023.139309")</f>
        <v>http://dx.doi.org/10.1016/j.jclepro.2023.139309</v>
      </c>
      <c r="X34" t="s">
        <v>47</v>
      </c>
      <c r="Y34" t="s">
        <v>96</v>
      </c>
      <c r="Z34" t="s">
        <v>52</v>
      </c>
      <c r="AA34" t="s">
        <v>47</v>
      </c>
      <c r="AB34" t="s">
        <v>472</v>
      </c>
      <c r="AC34" s="1" t="str">
        <f>HYPERLINK("https://www.webofscience.com/wos/woscc/full-record/WOS:001111607000001","View Record in Web of Science")</f>
        <v>View Record in Web of Science</v>
      </c>
      <c r="AD34" t="s">
        <v>47</v>
      </c>
      <c r="AE34" t="s">
        <v>47</v>
      </c>
      <c r="AF34" t="s">
        <v>47</v>
      </c>
      <c r="AG34" t="s">
        <v>54</v>
      </c>
    </row>
    <row r="35" spans="1:33">
      <c r="A35" t="s">
        <v>34</v>
      </c>
      <c r="B35" t="s">
        <v>473</v>
      </c>
      <c r="C35" t="s">
        <v>474</v>
      </c>
      <c r="D35" t="s">
        <v>475</v>
      </c>
      <c r="E35" t="s">
        <v>476</v>
      </c>
      <c r="F35" t="s">
        <v>477</v>
      </c>
      <c r="G35" t="s">
        <v>47</v>
      </c>
      <c r="H35" t="s">
        <v>47</v>
      </c>
      <c r="I35" t="s">
        <v>478</v>
      </c>
      <c r="J35" t="s">
        <v>479</v>
      </c>
      <c r="K35" t="s">
        <v>480</v>
      </c>
      <c r="L35" t="s">
        <v>481</v>
      </c>
      <c r="M35" t="s">
        <v>482</v>
      </c>
      <c r="N35" t="s">
        <v>47</v>
      </c>
      <c r="O35" t="s">
        <v>67</v>
      </c>
      <c r="P35" t="s">
        <v>47</v>
      </c>
      <c r="Q35" t="s">
        <v>47</v>
      </c>
      <c r="R35" t="s">
        <v>47</v>
      </c>
      <c r="S35" t="s">
        <v>483</v>
      </c>
      <c r="T35" t="s">
        <v>484</v>
      </c>
      <c r="U35" t="s">
        <v>47</v>
      </c>
      <c r="V35" t="s">
        <v>485</v>
      </c>
      <c r="W35" s="1" t="str">
        <f>HYPERLINK("http://dx.doi.org/10.1016/j.cemconcomp.2018.08.003","http://dx.doi.org/10.1016/j.cemconcomp.2018.08.003")</f>
        <v>http://dx.doi.org/10.1016/j.cemconcomp.2018.08.003</v>
      </c>
      <c r="X35" t="s">
        <v>47</v>
      </c>
      <c r="Y35" t="s">
        <v>47</v>
      </c>
      <c r="Z35" t="s">
        <v>486</v>
      </c>
      <c r="AA35" t="s">
        <v>47</v>
      </c>
      <c r="AB35" t="s">
        <v>487</v>
      </c>
      <c r="AC35" s="1" t="str">
        <f>HYPERLINK("https://www.webofscience.com/wos/woscc/full-record/WOS:000468709000009","View Record in Web of Science")</f>
        <v>View Record in Web of Science</v>
      </c>
      <c r="AD35" t="s">
        <v>47</v>
      </c>
      <c r="AE35" t="s">
        <v>47</v>
      </c>
      <c r="AF35" t="s">
        <v>47</v>
      </c>
      <c r="AG35" t="s">
        <v>54</v>
      </c>
    </row>
    <row r="36" spans="1:33">
      <c r="A36" t="s">
        <v>34</v>
      </c>
      <c r="B36" t="s">
        <v>488</v>
      </c>
      <c r="C36" t="s">
        <v>489</v>
      </c>
      <c r="D36" t="s">
        <v>490</v>
      </c>
      <c r="E36" t="s">
        <v>491</v>
      </c>
      <c r="F36" t="s">
        <v>492</v>
      </c>
      <c r="G36" t="s">
        <v>493</v>
      </c>
      <c r="H36" t="s">
        <v>494</v>
      </c>
      <c r="I36" t="s">
        <v>495</v>
      </c>
      <c r="J36" t="s">
        <v>496</v>
      </c>
      <c r="K36" t="s">
        <v>497</v>
      </c>
      <c r="L36" t="s">
        <v>64</v>
      </c>
      <c r="M36" t="s">
        <v>498</v>
      </c>
      <c r="N36" t="s">
        <v>47</v>
      </c>
      <c r="O36" t="s">
        <v>47</v>
      </c>
      <c r="P36" t="s">
        <v>47</v>
      </c>
      <c r="Q36" t="s">
        <v>47</v>
      </c>
      <c r="R36" t="s">
        <v>47</v>
      </c>
      <c r="S36" t="s">
        <v>47</v>
      </c>
      <c r="T36" t="s">
        <v>47</v>
      </c>
      <c r="U36" t="s">
        <v>499</v>
      </c>
      <c r="V36" t="s">
        <v>500</v>
      </c>
      <c r="W36" s="1" t="str">
        <f>HYPERLINK("http://dx.doi.org/10.1016/j.resconrec.2022.106607","http://dx.doi.org/10.1016/j.resconrec.2022.106607")</f>
        <v>http://dx.doi.org/10.1016/j.resconrec.2022.106607</v>
      </c>
      <c r="X36" t="s">
        <v>47</v>
      </c>
      <c r="Y36" t="s">
        <v>501</v>
      </c>
      <c r="Z36" t="s">
        <v>52</v>
      </c>
      <c r="AA36" t="s">
        <v>47</v>
      </c>
      <c r="AB36" t="s">
        <v>502</v>
      </c>
      <c r="AC36" s="1" t="str">
        <f>HYPERLINK("https://www.webofscience.com/wos/woscc/full-record/WOS:000865354900003","View Record in Web of Science")</f>
        <v>View Record in Web of Science</v>
      </c>
      <c r="AD36" t="s">
        <v>47</v>
      </c>
      <c r="AE36" t="s">
        <v>47</v>
      </c>
      <c r="AF36" t="s">
        <v>47</v>
      </c>
      <c r="AG36" t="s">
        <v>54</v>
      </c>
    </row>
    <row r="37" spans="1:33">
      <c r="A37" t="s">
        <v>34</v>
      </c>
      <c r="B37" t="s">
        <v>503</v>
      </c>
      <c r="C37" t="s">
        <v>504</v>
      </c>
      <c r="D37" t="s">
        <v>505</v>
      </c>
      <c r="E37" t="s">
        <v>506</v>
      </c>
      <c r="F37" t="s">
        <v>507</v>
      </c>
      <c r="G37" t="s">
        <v>47</v>
      </c>
      <c r="H37" t="s">
        <v>508</v>
      </c>
      <c r="I37" t="s">
        <v>509</v>
      </c>
      <c r="J37" t="s">
        <v>510</v>
      </c>
      <c r="K37" t="s">
        <v>511</v>
      </c>
      <c r="L37" t="s">
        <v>45</v>
      </c>
      <c r="M37" t="s">
        <v>512</v>
      </c>
      <c r="N37" t="s">
        <v>145</v>
      </c>
      <c r="O37" t="s">
        <v>47</v>
      </c>
      <c r="P37" t="s">
        <v>47</v>
      </c>
      <c r="Q37" t="s">
        <v>47</v>
      </c>
      <c r="R37" t="s">
        <v>47</v>
      </c>
      <c r="S37" t="s">
        <v>47</v>
      </c>
      <c r="T37" t="s">
        <v>47</v>
      </c>
      <c r="U37" t="s">
        <v>145</v>
      </c>
      <c r="V37" t="s">
        <v>513</v>
      </c>
      <c r="W37" s="1" t="str">
        <f>HYPERLINK("http://dx.doi.org/10.1007/s12351-024-00866-1","http://dx.doi.org/10.1007/s12351-024-00866-1")</f>
        <v>http://dx.doi.org/10.1007/s12351-024-00866-1</v>
      </c>
      <c r="X37" t="s">
        <v>47</v>
      </c>
      <c r="Y37" t="s">
        <v>47</v>
      </c>
      <c r="Z37" t="s">
        <v>52</v>
      </c>
      <c r="AA37" t="s">
        <v>47</v>
      </c>
      <c r="AB37" t="s">
        <v>514</v>
      </c>
      <c r="AC37" s="1" t="str">
        <f>HYPERLINK("https://www.webofscience.com/wos/woscc/full-record/WOS:001370185300001","View Record in Web of Science")</f>
        <v>View Record in Web of Science</v>
      </c>
      <c r="AD37" t="s">
        <v>47</v>
      </c>
      <c r="AE37" t="s">
        <v>47</v>
      </c>
      <c r="AF37" t="s">
        <v>47</v>
      </c>
      <c r="AG37" t="s">
        <v>54</v>
      </c>
    </row>
    <row r="38" spans="1:33">
      <c r="A38" t="s">
        <v>34</v>
      </c>
      <c r="B38" t="s">
        <v>515</v>
      </c>
      <c r="C38" t="s">
        <v>516</v>
      </c>
      <c r="D38" t="s">
        <v>517</v>
      </c>
      <c r="E38" t="s">
        <v>518</v>
      </c>
      <c r="F38" t="s">
        <v>519</v>
      </c>
      <c r="G38" t="s">
        <v>520</v>
      </c>
      <c r="H38" t="s">
        <v>521</v>
      </c>
      <c r="I38" t="s">
        <v>522</v>
      </c>
      <c r="J38" t="s">
        <v>523</v>
      </c>
      <c r="K38" t="s">
        <v>271</v>
      </c>
      <c r="L38" t="s">
        <v>127</v>
      </c>
      <c r="M38" t="s">
        <v>524</v>
      </c>
      <c r="N38" t="s">
        <v>47</v>
      </c>
      <c r="O38" t="s">
        <v>47</v>
      </c>
      <c r="P38" t="s">
        <v>47</v>
      </c>
      <c r="Q38" t="s">
        <v>47</v>
      </c>
      <c r="R38" t="s">
        <v>47</v>
      </c>
      <c r="S38" t="s">
        <v>47</v>
      </c>
      <c r="T38" t="s">
        <v>47</v>
      </c>
      <c r="U38" t="s">
        <v>525</v>
      </c>
      <c r="V38" t="s">
        <v>526</v>
      </c>
      <c r="W38" s="1" t="str">
        <f>HYPERLINK("http://dx.doi.org/10.1016/j.ijpe.2024.109477","http://dx.doi.org/10.1016/j.ijpe.2024.109477")</f>
        <v>http://dx.doi.org/10.1016/j.ijpe.2024.109477</v>
      </c>
      <c r="X38" t="s">
        <v>47</v>
      </c>
      <c r="Y38" t="s">
        <v>44</v>
      </c>
      <c r="Z38" t="s">
        <v>52</v>
      </c>
      <c r="AA38" t="s">
        <v>47</v>
      </c>
      <c r="AB38" t="s">
        <v>527</v>
      </c>
      <c r="AC38" s="1" t="str">
        <f>HYPERLINK("https://www.webofscience.com/wos/woscc/full-record/WOS:001392945800001","View Record in Web of Science")</f>
        <v>View Record in Web of Science</v>
      </c>
      <c r="AD38" t="s">
        <v>47</v>
      </c>
      <c r="AE38" t="s">
        <v>47</v>
      </c>
      <c r="AF38" t="s">
        <v>47</v>
      </c>
      <c r="AG38" t="s">
        <v>54</v>
      </c>
    </row>
    <row r="39" spans="1:33">
      <c r="A39" t="s">
        <v>34</v>
      </c>
      <c r="B39" t="s">
        <v>528</v>
      </c>
      <c r="C39" t="s">
        <v>529</v>
      </c>
      <c r="D39" t="s">
        <v>530</v>
      </c>
      <c r="E39" t="s">
        <v>531</v>
      </c>
      <c r="F39" t="s">
        <v>532</v>
      </c>
      <c r="G39" t="s">
        <v>533</v>
      </c>
      <c r="H39" t="s">
        <v>47</v>
      </c>
      <c r="I39" t="s">
        <v>47</v>
      </c>
      <c r="J39" t="s">
        <v>534</v>
      </c>
      <c r="K39" t="s">
        <v>535</v>
      </c>
      <c r="L39" t="s">
        <v>97</v>
      </c>
      <c r="M39" t="s">
        <v>189</v>
      </c>
      <c r="N39" t="s">
        <v>47</v>
      </c>
      <c r="O39" t="s">
        <v>47</v>
      </c>
      <c r="P39" t="s">
        <v>47</v>
      </c>
      <c r="Q39" t="s">
        <v>47</v>
      </c>
      <c r="R39" t="s">
        <v>47</v>
      </c>
      <c r="S39" t="s">
        <v>47</v>
      </c>
      <c r="T39" t="s">
        <v>47</v>
      </c>
      <c r="U39" t="s">
        <v>536</v>
      </c>
      <c r="V39" t="s">
        <v>537</v>
      </c>
      <c r="W39" s="1" t="str">
        <f>HYPERLINK("http://dx.doi.org/10.3389/fenvs.2022.1088162","http://dx.doi.org/10.3389/fenvs.2022.1088162")</f>
        <v>http://dx.doi.org/10.3389/fenvs.2022.1088162</v>
      </c>
      <c r="X39" t="s">
        <v>47</v>
      </c>
      <c r="Y39" t="s">
        <v>47</v>
      </c>
      <c r="Z39" t="s">
        <v>52</v>
      </c>
      <c r="AA39" t="s">
        <v>47</v>
      </c>
      <c r="AB39" t="s">
        <v>538</v>
      </c>
      <c r="AC39" s="1" t="str">
        <f>HYPERLINK("https://www.webofscience.com/wos/woscc/full-record/WOS:000920246700001","View Record in Web of Science")</f>
        <v>View Record in Web of Science</v>
      </c>
      <c r="AD39" t="s">
        <v>47</v>
      </c>
      <c r="AE39" t="s">
        <v>47</v>
      </c>
      <c r="AF39" t="s">
        <v>47</v>
      </c>
      <c r="AG39" t="s">
        <v>54</v>
      </c>
    </row>
    <row r="40" spans="1:33">
      <c r="A40" t="s">
        <v>34</v>
      </c>
      <c r="B40" t="s">
        <v>539</v>
      </c>
      <c r="C40" t="s">
        <v>540</v>
      </c>
      <c r="D40" t="s">
        <v>541</v>
      </c>
      <c r="E40" t="s">
        <v>76</v>
      </c>
      <c r="F40" t="s">
        <v>542</v>
      </c>
      <c r="G40" t="s">
        <v>47</v>
      </c>
      <c r="H40" t="s">
        <v>543</v>
      </c>
      <c r="I40" t="s">
        <v>80</v>
      </c>
      <c r="J40" t="s">
        <v>81</v>
      </c>
      <c r="K40" t="s">
        <v>544</v>
      </c>
      <c r="L40" t="s">
        <v>64</v>
      </c>
      <c r="M40" t="s">
        <v>545</v>
      </c>
      <c r="N40" t="s">
        <v>47</v>
      </c>
      <c r="O40" t="s">
        <v>47</v>
      </c>
      <c r="P40" t="s">
        <v>47</v>
      </c>
      <c r="Q40" t="s">
        <v>47</v>
      </c>
      <c r="R40" t="s">
        <v>47</v>
      </c>
      <c r="S40" t="s">
        <v>47</v>
      </c>
      <c r="T40" t="s">
        <v>47</v>
      </c>
      <c r="U40" t="s">
        <v>546</v>
      </c>
      <c r="V40" t="s">
        <v>547</v>
      </c>
      <c r="W40" s="1" t="str">
        <f>HYPERLINK("http://dx.doi.org/10.1016/j.cie.2022.108159","http://dx.doi.org/10.1016/j.cie.2022.108159")</f>
        <v>http://dx.doi.org/10.1016/j.cie.2022.108159</v>
      </c>
      <c r="X40" t="s">
        <v>47</v>
      </c>
      <c r="Y40" t="s">
        <v>548</v>
      </c>
      <c r="Z40" t="s">
        <v>86</v>
      </c>
      <c r="AA40" t="s">
        <v>47</v>
      </c>
      <c r="AB40" t="s">
        <v>549</v>
      </c>
      <c r="AC40" s="1" t="str">
        <f>HYPERLINK("https://www.webofscience.com/wos/woscc/full-record/WOS:000797946900010","View Record in Web of Science")</f>
        <v>View Record in Web of Science</v>
      </c>
      <c r="AD40" t="s">
        <v>47</v>
      </c>
      <c r="AE40" t="s">
        <v>47</v>
      </c>
      <c r="AF40" t="s">
        <v>47</v>
      </c>
      <c r="AG40" t="s">
        <v>54</v>
      </c>
    </row>
    <row r="41" spans="1:33">
      <c r="A41" t="s">
        <v>34</v>
      </c>
      <c r="B41" t="s">
        <v>550</v>
      </c>
      <c r="C41" t="s">
        <v>551</v>
      </c>
      <c r="D41" t="s">
        <v>552</v>
      </c>
      <c r="E41" t="s">
        <v>553</v>
      </c>
      <c r="F41" t="s">
        <v>554</v>
      </c>
      <c r="G41" t="s">
        <v>555</v>
      </c>
      <c r="H41" t="s">
        <v>556</v>
      </c>
      <c r="I41" t="s">
        <v>557</v>
      </c>
      <c r="J41" t="s">
        <v>558</v>
      </c>
      <c r="K41" t="s">
        <v>559</v>
      </c>
      <c r="L41" t="s">
        <v>127</v>
      </c>
      <c r="M41" t="s">
        <v>144</v>
      </c>
      <c r="N41" t="s">
        <v>189</v>
      </c>
      <c r="O41" t="s">
        <v>47</v>
      </c>
      <c r="P41" t="s">
        <v>47</v>
      </c>
      <c r="Q41" t="s">
        <v>47</v>
      </c>
      <c r="R41" t="s">
        <v>47</v>
      </c>
      <c r="S41" t="s">
        <v>560</v>
      </c>
      <c r="T41" t="s">
        <v>561</v>
      </c>
      <c r="U41" t="s">
        <v>47</v>
      </c>
      <c r="V41" t="s">
        <v>562</v>
      </c>
      <c r="W41" s="1" t="str">
        <f>HYPERLINK("http://dx.doi.org/10.1080/00207543.2024.2425777","http://dx.doi.org/10.1080/00207543.2024.2425777")</f>
        <v>http://dx.doi.org/10.1080/00207543.2024.2425777</v>
      </c>
      <c r="X41" t="s">
        <v>47</v>
      </c>
      <c r="Y41" t="s">
        <v>51</v>
      </c>
      <c r="Z41" t="s">
        <v>52</v>
      </c>
      <c r="AA41" t="s">
        <v>47</v>
      </c>
      <c r="AB41" t="s">
        <v>563</v>
      </c>
      <c r="AC41" s="1" t="str">
        <f>HYPERLINK("https://www.webofscience.com/wos/woscc/full-record/WOS:001353825200001","View Record in Web of Science")</f>
        <v>View Record in Web of Science</v>
      </c>
      <c r="AD41" t="s">
        <v>47</v>
      </c>
      <c r="AE41" t="s">
        <v>47</v>
      </c>
      <c r="AF41" t="s">
        <v>47</v>
      </c>
      <c r="AG41" t="s">
        <v>54</v>
      </c>
    </row>
    <row r="42" spans="1:33">
      <c r="A42" t="s">
        <v>34</v>
      </c>
      <c r="B42" t="s">
        <v>564</v>
      </c>
      <c r="C42" t="s">
        <v>565</v>
      </c>
      <c r="D42" t="s">
        <v>566</v>
      </c>
      <c r="E42" t="s">
        <v>567</v>
      </c>
      <c r="F42" t="s">
        <v>568</v>
      </c>
      <c r="G42" t="s">
        <v>569</v>
      </c>
      <c r="H42" t="s">
        <v>570</v>
      </c>
      <c r="I42" t="s">
        <v>571</v>
      </c>
      <c r="J42" t="s">
        <v>572</v>
      </c>
      <c r="K42" t="s">
        <v>44</v>
      </c>
      <c r="L42" t="s">
        <v>45</v>
      </c>
      <c r="M42" t="s">
        <v>573</v>
      </c>
      <c r="N42" t="s">
        <v>47</v>
      </c>
      <c r="O42" t="s">
        <v>47</v>
      </c>
      <c r="P42" t="s">
        <v>47</v>
      </c>
      <c r="Q42" t="s">
        <v>47</v>
      </c>
      <c r="R42" t="s">
        <v>47</v>
      </c>
      <c r="S42" t="s">
        <v>47</v>
      </c>
      <c r="T42" t="s">
        <v>47</v>
      </c>
      <c r="U42" t="s">
        <v>574</v>
      </c>
      <c r="V42" t="s">
        <v>575</v>
      </c>
      <c r="W42" s="1" t="str">
        <f>HYPERLINK("http://dx.doi.org/10.1016/j.cor.2024.106803","http://dx.doi.org/10.1016/j.cor.2024.106803")</f>
        <v>http://dx.doi.org/10.1016/j.cor.2024.106803</v>
      </c>
      <c r="X42" t="s">
        <v>47</v>
      </c>
      <c r="Y42" t="s">
        <v>176</v>
      </c>
      <c r="Z42" t="s">
        <v>52</v>
      </c>
      <c r="AA42" t="s">
        <v>47</v>
      </c>
      <c r="AB42" t="s">
        <v>576</v>
      </c>
      <c r="AC42" s="1" t="str">
        <f>HYPERLINK("https://www.webofscience.com/wos/woscc/full-record/WOS:001299656300001","View Record in Web of Science")</f>
        <v>View Record in Web of Science</v>
      </c>
      <c r="AD42" t="s">
        <v>47</v>
      </c>
      <c r="AE42" t="s">
        <v>47</v>
      </c>
      <c r="AF42" t="s">
        <v>47</v>
      </c>
      <c r="AG42" t="s">
        <v>54</v>
      </c>
    </row>
    <row r="43" spans="1:33">
      <c r="A43" t="s">
        <v>34</v>
      </c>
      <c r="B43" t="s">
        <v>577</v>
      </c>
      <c r="C43" t="s">
        <v>578</v>
      </c>
      <c r="D43" t="s">
        <v>579</v>
      </c>
      <c r="E43" t="s">
        <v>580</v>
      </c>
      <c r="F43" t="s">
        <v>581</v>
      </c>
      <c r="G43" t="s">
        <v>582</v>
      </c>
      <c r="H43" t="s">
        <v>583</v>
      </c>
      <c r="I43" t="s">
        <v>584</v>
      </c>
      <c r="J43" t="s">
        <v>47</v>
      </c>
      <c r="K43" t="s">
        <v>45</v>
      </c>
      <c r="L43" t="s">
        <v>45</v>
      </c>
      <c r="M43" t="s">
        <v>394</v>
      </c>
      <c r="N43" t="s">
        <v>145</v>
      </c>
      <c r="O43" t="s">
        <v>47</v>
      </c>
      <c r="P43" t="s">
        <v>47</v>
      </c>
      <c r="Q43" t="s">
        <v>47</v>
      </c>
      <c r="R43" t="s">
        <v>47</v>
      </c>
      <c r="S43" t="s">
        <v>585</v>
      </c>
      <c r="T43" t="s">
        <v>586</v>
      </c>
      <c r="U43" t="s">
        <v>47</v>
      </c>
      <c r="V43" t="s">
        <v>587</v>
      </c>
      <c r="W43" s="1" t="str">
        <f>HYPERLINK("http://dx.doi.org/10.3934/GF.2024006","http://dx.doi.org/10.3934/GF.2024006")</f>
        <v>http://dx.doi.org/10.3934/GF.2024006</v>
      </c>
      <c r="X43" t="s">
        <v>47</v>
      </c>
      <c r="Y43" t="s">
        <v>47</v>
      </c>
      <c r="Z43" t="s">
        <v>194</v>
      </c>
      <c r="AA43" t="s">
        <v>47</v>
      </c>
      <c r="AB43" t="s">
        <v>588</v>
      </c>
      <c r="AC43" s="1" t="str">
        <f>HYPERLINK("https://www.webofscience.com/wos/woscc/full-record/WOS:001192370900001","View Record in Web of Science")</f>
        <v>View Record in Web of Science</v>
      </c>
      <c r="AD43" t="s">
        <v>47</v>
      </c>
      <c r="AE43" t="s">
        <v>47</v>
      </c>
      <c r="AF43" t="s">
        <v>47</v>
      </c>
      <c r="AG43" t="s">
        <v>54</v>
      </c>
    </row>
    <row r="44" spans="1:33">
      <c r="A44" t="s">
        <v>34</v>
      </c>
      <c r="B44" t="s">
        <v>589</v>
      </c>
      <c r="C44" t="s">
        <v>590</v>
      </c>
      <c r="D44" t="s">
        <v>591</v>
      </c>
      <c r="E44" t="s">
        <v>76</v>
      </c>
      <c r="F44" t="s">
        <v>592</v>
      </c>
      <c r="G44" t="s">
        <v>47</v>
      </c>
      <c r="H44" t="s">
        <v>593</v>
      </c>
      <c r="I44" t="s">
        <v>80</v>
      </c>
      <c r="J44" t="s">
        <v>81</v>
      </c>
      <c r="K44" t="s">
        <v>594</v>
      </c>
      <c r="L44" t="s">
        <v>595</v>
      </c>
      <c r="M44" t="s">
        <v>596</v>
      </c>
      <c r="N44" t="s">
        <v>47</v>
      </c>
      <c r="O44" t="s">
        <v>47</v>
      </c>
      <c r="P44" t="s">
        <v>47</v>
      </c>
      <c r="Q44" t="s">
        <v>47</v>
      </c>
      <c r="R44" t="s">
        <v>47</v>
      </c>
      <c r="S44" t="s">
        <v>47</v>
      </c>
      <c r="T44" t="s">
        <v>47</v>
      </c>
      <c r="U44" t="s">
        <v>597</v>
      </c>
      <c r="V44" t="s">
        <v>598</v>
      </c>
      <c r="W44" s="1" t="str">
        <f>HYPERLINK("http://dx.doi.org/10.1016/j.cie.2020.106892","http://dx.doi.org/10.1016/j.cie.2020.106892")</f>
        <v>http://dx.doi.org/10.1016/j.cie.2020.106892</v>
      </c>
      <c r="X44" t="s">
        <v>47</v>
      </c>
      <c r="Y44" t="s">
        <v>47</v>
      </c>
      <c r="Z44" t="s">
        <v>86</v>
      </c>
      <c r="AA44" t="s">
        <v>47</v>
      </c>
      <c r="AB44" t="s">
        <v>599</v>
      </c>
      <c r="AC44" s="1" t="str">
        <f>HYPERLINK("https://www.webofscience.com/wos/woscc/full-record/WOS:000604134500028","View Record in Web of Science")</f>
        <v>View Record in Web of Science</v>
      </c>
      <c r="AD44" t="s">
        <v>47</v>
      </c>
      <c r="AE44" t="s">
        <v>47</v>
      </c>
      <c r="AF44" t="s">
        <v>47</v>
      </c>
      <c r="AG44" t="s">
        <v>54</v>
      </c>
    </row>
    <row r="45" spans="1:33">
      <c r="A45" t="s">
        <v>34</v>
      </c>
      <c r="B45" t="s">
        <v>600</v>
      </c>
      <c r="C45" t="s">
        <v>601</v>
      </c>
      <c r="D45" t="s">
        <v>602</v>
      </c>
      <c r="E45" t="s">
        <v>603</v>
      </c>
      <c r="F45" t="s">
        <v>604</v>
      </c>
      <c r="G45" t="s">
        <v>605</v>
      </c>
      <c r="H45" t="s">
        <v>606</v>
      </c>
      <c r="I45" t="s">
        <v>607</v>
      </c>
      <c r="J45" t="s">
        <v>47</v>
      </c>
      <c r="K45" t="s">
        <v>82</v>
      </c>
      <c r="L45" t="s">
        <v>64</v>
      </c>
      <c r="M45" t="s">
        <v>218</v>
      </c>
      <c r="N45" t="s">
        <v>47</v>
      </c>
      <c r="O45" t="s">
        <v>47</v>
      </c>
      <c r="P45" t="s">
        <v>47</v>
      </c>
      <c r="Q45" t="s">
        <v>47</v>
      </c>
      <c r="R45" t="s">
        <v>47</v>
      </c>
      <c r="S45" t="s">
        <v>608</v>
      </c>
      <c r="T45" t="s">
        <v>609</v>
      </c>
      <c r="U45" t="s">
        <v>47</v>
      </c>
      <c r="V45" t="s">
        <v>610</v>
      </c>
      <c r="W45" s="1" t="str">
        <f>HYPERLINK("http://dx.doi.org/10.1016/j.spc.2021.11.006","http://dx.doi.org/10.1016/j.spc.2021.11.006")</f>
        <v>http://dx.doi.org/10.1016/j.spc.2021.11.006</v>
      </c>
      <c r="X45" t="s">
        <v>47</v>
      </c>
      <c r="Y45" t="s">
        <v>611</v>
      </c>
      <c r="Z45" t="s">
        <v>86</v>
      </c>
      <c r="AA45" t="s">
        <v>47</v>
      </c>
      <c r="AB45" t="s">
        <v>612</v>
      </c>
      <c r="AC45" s="1" t="str">
        <f>HYPERLINK("https://www.webofscience.com/wos/woscc/full-record/WOS:000744244100008","View Record in Web of Science")</f>
        <v>View Record in Web of Science</v>
      </c>
      <c r="AD45" t="s">
        <v>47</v>
      </c>
      <c r="AE45" t="s">
        <v>47</v>
      </c>
      <c r="AF45" t="s">
        <v>47</v>
      </c>
      <c r="AG45" t="s">
        <v>54</v>
      </c>
    </row>
    <row r="46" spans="1:33">
      <c r="A46" t="s">
        <v>34</v>
      </c>
      <c r="B46" t="s">
        <v>613</v>
      </c>
      <c r="C46" t="s">
        <v>614</v>
      </c>
      <c r="D46" t="s">
        <v>615</v>
      </c>
      <c r="E46" t="s">
        <v>616</v>
      </c>
      <c r="F46" t="s">
        <v>617</v>
      </c>
      <c r="G46" t="s">
        <v>618</v>
      </c>
      <c r="H46" t="s">
        <v>619</v>
      </c>
      <c r="I46" t="s">
        <v>620</v>
      </c>
      <c r="J46" t="s">
        <v>621</v>
      </c>
      <c r="K46" t="s">
        <v>622</v>
      </c>
      <c r="L46" t="s">
        <v>97</v>
      </c>
      <c r="M46" t="s">
        <v>420</v>
      </c>
      <c r="N46" t="s">
        <v>623</v>
      </c>
      <c r="O46" t="s">
        <v>47</v>
      </c>
      <c r="P46" t="s">
        <v>47</v>
      </c>
      <c r="Q46" t="s">
        <v>47</v>
      </c>
      <c r="R46" t="s">
        <v>47</v>
      </c>
      <c r="S46" t="s">
        <v>624</v>
      </c>
      <c r="T46" t="s">
        <v>625</v>
      </c>
      <c r="U46" t="s">
        <v>47</v>
      </c>
      <c r="V46" t="s">
        <v>626</v>
      </c>
      <c r="W46" s="1" t="str">
        <f>HYPERLINK("http://dx.doi.org/10.1007/s00500-023-09060-5","http://dx.doi.org/10.1007/s00500-023-09060-5")</f>
        <v>http://dx.doi.org/10.1007/s00500-023-09060-5</v>
      </c>
      <c r="X46" t="s">
        <v>47</v>
      </c>
      <c r="Y46" t="s">
        <v>627</v>
      </c>
      <c r="Z46" t="s">
        <v>52</v>
      </c>
      <c r="AA46" t="s">
        <v>47</v>
      </c>
      <c r="AB46" t="s">
        <v>628</v>
      </c>
      <c r="AC46" s="1" t="str">
        <f>HYPERLINK("https://www.webofscience.com/wos/woscc/full-record/WOS:001052020600001","View Record in Web of Science")</f>
        <v>View Record in Web of Science</v>
      </c>
      <c r="AD46" t="s">
        <v>47</v>
      </c>
      <c r="AE46" t="s">
        <v>47</v>
      </c>
      <c r="AF46" t="s">
        <v>47</v>
      </c>
      <c r="AG46" t="s">
        <v>54</v>
      </c>
    </row>
    <row r="47" spans="1:33">
      <c r="A47" t="s">
        <v>34</v>
      </c>
      <c r="B47" t="s">
        <v>629</v>
      </c>
      <c r="C47" t="s">
        <v>630</v>
      </c>
      <c r="D47" t="s">
        <v>631</v>
      </c>
      <c r="E47" t="s">
        <v>632</v>
      </c>
      <c r="F47" t="s">
        <v>633</v>
      </c>
      <c r="G47" t="s">
        <v>634</v>
      </c>
      <c r="H47" t="s">
        <v>47</v>
      </c>
      <c r="I47" t="s">
        <v>635</v>
      </c>
      <c r="J47" t="s">
        <v>636</v>
      </c>
      <c r="K47" t="s">
        <v>47</v>
      </c>
      <c r="L47" t="s">
        <v>127</v>
      </c>
      <c r="M47" t="s">
        <v>47</v>
      </c>
      <c r="N47" t="s">
        <v>47</v>
      </c>
      <c r="O47" t="s">
        <v>47</v>
      </c>
      <c r="P47" t="s">
        <v>47</v>
      </c>
      <c r="Q47" t="s">
        <v>47</v>
      </c>
      <c r="R47" t="s">
        <v>47</v>
      </c>
      <c r="S47" t="s">
        <v>47</v>
      </c>
      <c r="T47" t="s">
        <v>47</v>
      </c>
      <c r="U47" t="s">
        <v>47</v>
      </c>
      <c r="V47" t="s">
        <v>637</v>
      </c>
      <c r="W47" s="1" t="str">
        <f>HYPERLINK("http://dx.doi.org/10.1007/s11518-025-5644-1","http://dx.doi.org/10.1007/s11518-025-5644-1")</f>
        <v>http://dx.doi.org/10.1007/s11518-025-5644-1</v>
      </c>
      <c r="X47" t="s">
        <v>47</v>
      </c>
      <c r="Y47" t="s">
        <v>638</v>
      </c>
      <c r="Z47" t="s">
        <v>52</v>
      </c>
      <c r="AA47" t="s">
        <v>47</v>
      </c>
      <c r="AB47" t="s">
        <v>639</v>
      </c>
      <c r="AC47" s="1" t="str">
        <f>HYPERLINK("https://www.webofscience.com/wos/woscc/full-record/WOS:001476186200001","View Record in Web of Science")</f>
        <v>View Record in Web of Science</v>
      </c>
      <c r="AD47" t="s">
        <v>47</v>
      </c>
      <c r="AE47" t="s">
        <v>47</v>
      </c>
      <c r="AF47" t="s">
        <v>47</v>
      </c>
      <c r="AG47" t="s">
        <v>54</v>
      </c>
    </row>
    <row r="48" spans="1:33">
      <c r="A48" t="s">
        <v>34</v>
      </c>
      <c r="B48" t="s">
        <v>640</v>
      </c>
      <c r="C48" t="s">
        <v>641</v>
      </c>
      <c r="D48" t="s">
        <v>642</v>
      </c>
      <c r="E48" t="s">
        <v>643</v>
      </c>
      <c r="F48" t="s">
        <v>644</v>
      </c>
      <c r="G48" t="s">
        <v>645</v>
      </c>
      <c r="H48" t="s">
        <v>47</v>
      </c>
      <c r="I48" t="s">
        <v>646</v>
      </c>
      <c r="J48" t="s">
        <v>47</v>
      </c>
      <c r="K48" t="s">
        <v>647</v>
      </c>
      <c r="L48" t="s">
        <v>648</v>
      </c>
      <c r="M48" t="s">
        <v>649</v>
      </c>
      <c r="N48" t="s">
        <v>47</v>
      </c>
      <c r="O48" t="s">
        <v>67</v>
      </c>
      <c r="P48" t="s">
        <v>47</v>
      </c>
      <c r="Q48" t="s">
        <v>650</v>
      </c>
      <c r="R48" t="s">
        <v>47</v>
      </c>
      <c r="S48" t="s">
        <v>651</v>
      </c>
      <c r="T48" t="s">
        <v>652</v>
      </c>
      <c r="U48" t="s">
        <v>47</v>
      </c>
      <c r="V48" t="s">
        <v>653</v>
      </c>
      <c r="W48" s="1" t="str">
        <f>HYPERLINK("http://dx.doi.org/10.3138/CPP.39.Supplement2.S53","http://dx.doi.org/10.3138/CPP.39.Supplement2.S53")</f>
        <v>http://dx.doi.org/10.3138/CPP.39.Supplement2.S53</v>
      </c>
      <c r="X48" t="s">
        <v>47</v>
      </c>
      <c r="Y48" t="s">
        <v>47</v>
      </c>
      <c r="Z48" t="s">
        <v>149</v>
      </c>
      <c r="AA48" t="s">
        <v>47</v>
      </c>
      <c r="AB48" t="s">
        <v>654</v>
      </c>
      <c r="AC48" s="1" t="str">
        <f>HYPERLINK("https://www.webofscience.com/wos/woscc/full-record/WOS:000325516300006","View Record in Web of Science")</f>
        <v>View Record in Web of Science</v>
      </c>
      <c r="AD48" t="s">
        <v>47</v>
      </c>
      <c r="AE48" t="s">
        <v>47</v>
      </c>
      <c r="AF48" t="s">
        <v>47</v>
      </c>
      <c r="AG48" t="s">
        <v>54</v>
      </c>
    </row>
    <row r="49" spans="1:33">
      <c r="A49" t="s">
        <v>34</v>
      </c>
      <c r="B49" t="s">
        <v>655</v>
      </c>
      <c r="C49" t="s">
        <v>656</v>
      </c>
      <c r="D49" t="s">
        <v>657</v>
      </c>
      <c r="E49" t="s">
        <v>225</v>
      </c>
      <c r="F49" t="s">
        <v>658</v>
      </c>
      <c r="G49" t="s">
        <v>659</v>
      </c>
      <c r="H49" t="s">
        <v>660</v>
      </c>
      <c r="I49" t="s">
        <v>229</v>
      </c>
      <c r="J49" t="s">
        <v>230</v>
      </c>
      <c r="K49" t="s">
        <v>661</v>
      </c>
      <c r="L49" t="s">
        <v>595</v>
      </c>
      <c r="M49" t="s">
        <v>662</v>
      </c>
      <c r="N49" t="s">
        <v>47</v>
      </c>
      <c r="O49" t="s">
        <v>47</v>
      </c>
      <c r="P49" t="s">
        <v>47</v>
      </c>
      <c r="Q49" t="s">
        <v>47</v>
      </c>
      <c r="R49" t="s">
        <v>47</v>
      </c>
      <c r="S49" t="s">
        <v>47</v>
      </c>
      <c r="T49" t="s">
        <v>47</v>
      </c>
      <c r="U49" t="s">
        <v>663</v>
      </c>
      <c r="V49" t="s">
        <v>664</v>
      </c>
      <c r="W49" s="1" t="str">
        <f>HYPERLINK("http://dx.doi.org/10.1016/jidepro.2020.122662","http://dx.doi.org/10.1016/jidepro.2020.122662")</f>
        <v>http://dx.doi.org/10.1016/jidepro.2020.122662</v>
      </c>
      <c r="X49" t="s">
        <v>47</v>
      </c>
      <c r="Y49" t="s">
        <v>47</v>
      </c>
      <c r="Z49" t="s">
        <v>52</v>
      </c>
      <c r="AA49" t="s">
        <v>47</v>
      </c>
      <c r="AB49" t="s">
        <v>665</v>
      </c>
      <c r="AC49" s="1" t="str">
        <f>HYPERLINK("https://www.webofscience.com/wos/woscc/full-record/WOS:000571823200008","View Record in Web of Science")</f>
        <v>View Record in Web of Science</v>
      </c>
      <c r="AD49" t="s">
        <v>47</v>
      </c>
      <c r="AE49" t="s">
        <v>47</v>
      </c>
      <c r="AF49" t="s">
        <v>47</v>
      </c>
      <c r="AG49" t="s">
        <v>54</v>
      </c>
    </row>
    <row r="50" spans="1:33">
      <c r="A50" t="s">
        <v>34</v>
      </c>
      <c r="B50" t="s">
        <v>666</v>
      </c>
      <c r="C50" t="s">
        <v>667</v>
      </c>
      <c r="D50" t="s">
        <v>668</v>
      </c>
      <c r="E50" t="s">
        <v>669</v>
      </c>
      <c r="F50" t="s">
        <v>670</v>
      </c>
      <c r="G50" t="s">
        <v>671</v>
      </c>
      <c r="H50" t="s">
        <v>47</v>
      </c>
      <c r="I50" t="s">
        <v>672</v>
      </c>
      <c r="J50" t="s">
        <v>673</v>
      </c>
      <c r="K50" t="s">
        <v>674</v>
      </c>
      <c r="L50" t="s">
        <v>127</v>
      </c>
      <c r="M50" t="s">
        <v>675</v>
      </c>
      <c r="N50" t="s">
        <v>145</v>
      </c>
      <c r="O50" t="s">
        <v>47</v>
      </c>
      <c r="P50" t="s">
        <v>47</v>
      </c>
      <c r="Q50" t="s">
        <v>47</v>
      </c>
      <c r="R50" t="s">
        <v>47</v>
      </c>
      <c r="S50" t="s">
        <v>47</v>
      </c>
      <c r="T50" t="s">
        <v>47</v>
      </c>
      <c r="U50" t="s">
        <v>394</v>
      </c>
      <c r="V50" t="s">
        <v>676</v>
      </c>
      <c r="W50" s="1" t="str">
        <f>HYPERLINK("http://dx.doi.org/10.1007/s40808-025-02652-0","http://dx.doi.org/10.1007/s40808-025-02652-0")</f>
        <v>http://dx.doi.org/10.1007/s40808-025-02652-0</v>
      </c>
      <c r="X50" t="s">
        <v>47</v>
      </c>
      <c r="Y50" t="s">
        <v>47</v>
      </c>
      <c r="Z50" t="s">
        <v>194</v>
      </c>
      <c r="AA50" t="s">
        <v>47</v>
      </c>
      <c r="AB50" t="s">
        <v>677</v>
      </c>
      <c r="AC50" s="1" t="str">
        <f>HYPERLINK("https://www.webofscience.com/wos/woscc/full-record/WOS:001595860100009","View Record in Web of Science")</f>
        <v>View Record in Web of Science</v>
      </c>
      <c r="AD50" t="s">
        <v>47</v>
      </c>
      <c r="AE50" t="s">
        <v>47</v>
      </c>
      <c r="AF50" t="s">
        <v>47</v>
      </c>
      <c r="AG50" t="s">
        <v>54</v>
      </c>
    </row>
    <row r="51" spans="1:33">
      <c r="A51" t="s">
        <v>34</v>
      </c>
      <c r="B51" t="s">
        <v>678</v>
      </c>
      <c r="C51" t="s">
        <v>679</v>
      </c>
      <c r="D51" t="s">
        <v>680</v>
      </c>
      <c r="E51" t="s">
        <v>681</v>
      </c>
      <c r="F51" t="s">
        <v>682</v>
      </c>
      <c r="G51" t="s">
        <v>47</v>
      </c>
      <c r="H51" t="s">
        <v>47</v>
      </c>
      <c r="I51" t="s">
        <v>683</v>
      </c>
      <c r="J51" t="s">
        <v>684</v>
      </c>
      <c r="K51" t="s">
        <v>71</v>
      </c>
      <c r="L51" t="s">
        <v>595</v>
      </c>
      <c r="M51" t="s">
        <v>444</v>
      </c>
      <c r="N51" t="s">
        <v>685</v>
      </c>
      <c r="O51" t="s">
        <v>47</v>
      </c>
      <c r="P51" t="s">
        <v>47</v>
      </c>
      <c r="Q51" t="s">
        <v>47</v>
      </c>
      <c r="R51" t="s">
        <v>47</v>
      </c>
      <c r="S51" t="s">
        <v>686</v>
      </c>
      <c r="T51" t="s">
        <v>687</v>
      </c>
      <c r="U51" t="s">
        <v>47</v>
      </c>
      <c r="V51" t="s">
        <v>47</v>
      </c>
      <c r="W51" t="s">
        <v>47</v>
      </c>
      <c r="X51" t="s">
        <v>47</v>
      </c>
      <c r="Y51" t="s">
        <v>47</v>
      </c>
      <c r="Z51" t="s">
        <v>52</v>
      </c>
      <c r="AA51" t="s">
        <v>47</v>
      </c>
      <c r="AB51" t="s">
        <v>688</v>
      </c>
      <c r="AC51" s="1" t="str">
        <f>HYPERLINK("https://www.webofscience.com/wos/woscc/full-record/WOS:000598895400006","View Record in Web of Science")</f>
        <v>View Record in Web of Science</v>
      </c>
      <c r="AD51" t="s">
        <v>47</v>
      </c>
      <c r="AE51" t="s">
        <v>47</v>
      </c>
      <c r="AF51" t="s">
        <v>47</v>
      </c>
      <c r="AG51" t="s">
        <v>54</v>
      </c>
    </row>
    <row r="52" spans="1:33">
      <c r="A52" t="s">
        <v>34</v>
      </c>
      <c r="B52" t="s">
        <v>689</v>
      </c>
      <c r="C52" t="s">
        <v>690</v>
      </c>
      <c r="D52" t="s">
        <v>691</v>
      </c>
      <c r="E52" t="s">
        <v>692</v>
      </c>
      <c r="F52" t="s">
        <v>693</v>
      </c>
      <c r="G52" t="s">
        <v>694</v>
      </c>
      <c r="H52" t="s">
        <v>47</v>
      </c>
      <c r="I52" t="s">
        <v>695</v>
      </c>
      <c r="J52" t="s">
        <v>696</v>
      </c>
      <c r="K52" t="s">
        <v>697</v>
      </c>
      <c r="L52" t="s">
        <v>188</v>
      </c>
      <c r="M52" t="s">
        <v>698</v>
      </c>
      <c r="N52" t="s">
        <v>273</v>
      </c>
      <c r="O52" t="s">
        <v>47</v>
      </c>
      <c r="P52" t="s">
        <v>47</v>
      </c>
      <c r="Q52" t="s">
        <v>47</v>
      </c>
      <c r="R52" t="s">
        <v>47</v>
      </c>
      <c r="S52" t="s">
        <v>699</v>
      </c>
      <c r="T52" t="s">
        <v>700</v>
      </c>
      <c r="U52" t="s">
        <v>47</v>
      </c>
      <c r="V52" t="s">
        <v>701</v>
      </c>
      <c r="W52" s="1" t="str">
        <f>HYPERLINK("http://dx.doi.org/10.1108/APJML-12-2024-1956","http://dx.doi.org/10.1108/APJML-12-2024-1956")</f>
        <v>http://dx.doi.org/10.1108/APJML-12-2024-1956</v>
      </c>
      <c r="X52" t="s">
        <v>47</v>
      </c>
      <c r="Y52" t="s">
        <v>246</v>
      </c>
      <c r="Z52" t="s">
        <v>149</v>
      </c>
      <c r="AA52" t="s">
        <v>47</v>
      </c>
      <c r="AB52" t="s">
        <v>702</v>
      </c>
      <c r="AC52" s="1" t="str">
        <f>HYPERLINK("https://www.webofscience.com/wos/woscc/full-record/WOS:001512946100001","View Record in Web of Science")</f>
        <v>View Record in Web of Science</v>
      </c>
      <c r="AD52" t="s">
        <v>47</v>
      </c>
      <c r="AE52" t="s">
        <v>47</v>
      </c>
      <c r="AF52" t="s">
        <v>47</v>
      </c>
      <c r="AG52" t="s">
        <v>54</v>
      </c>
    </row>
    <row r="53" spans="1:33">
      <c r="A53" t="s">
        <v>34</v>
      </c>
      <c r="B53" t="s">
        <v>703</v>
      </c>
      <c r="C53" t="s">
        <v>704</v>
      </c>
      <c r="D53" t="s">
        <v>705</v>
      </c>
      <c r="E53" t="s">
        <v>706</v>
      </c>
      <c r="F53" t="s">
        <v>707</v>
      </c>
      <c r="G53" t="s">
        <v>708</v>
      </c>
      <c r="H53" t="s">
        <v>709</v>
      </c>
      <c r="I53" t="s">
        <v>710</v>
      </c>
      <c r="J53" t="s">
        <v>711</v>
      </c>
      <c r="K53" t="s">
        <v>712</v>
      </c>
      <c r="L53" t="s">
        <v>713</v>
      </c>
      <c r="M53" t="s">
        <v>203</v>
      </c>
      <c r="N53" t="s">
        <v>47</v>
      </c>
      <c r="O53" t="s">
        <v>47</v>
      </c>
      <c r="P53" t="s">
        <v>66</v>
      </c>
      <c r="Q53" t="s">
        <v>47</v>
      </c>
      <c r="R53" t="s">
        <v>47</v>
      </c>
      <c r="S53" t="s">
        <v>714</v>
      </c>
      <c r="T53" t="s">
        <v>715</v>
      </c>
      <c r="U53" t="s">
        <v>47</v>
      </c>
      <c r="V53" t="s">
        <v>716</v>
      </c>
      <c r="W53" s="1" t="str">
        <f>HYPERLINK("http://dx.doi.org/10.1017/S1355770X10000495","http://dx.doi.org/10.1017/S1355770X10000495")</f>
        <v>http://dx.doi.org/10.1017/S1355770X10000495</v>
      </c>
      <c r="X53" t="s">
        <v>47</v>
      </c>
      <c r="Y53" t="s">
        <v>47</v>
      </c>
      <c r="Z53" t="s">
        <v>149</v>
      </c>
      <c r="AA53" t="s">
        <v>47</v>
      </c>
      <c r="AB53" t="s">
        <v>717</v>
      </c>
      <c r="AC53" s="1" t="str">
        <f>HYPERLINK("https://www.webofscience.com/wos/woscc/full-record/WOS:000289876900002","View Record in Web of Science")</f>
        <v>View Record in Web of Science</v>
      </c>
      <c r="AD53" t="s">
        <v>47</v>
      </c>
      <c r="AE53" t="s">
        <v>47</v>
      </c>
      <c r="AF53" t="s">
        <v>47</v>
      </c>
      <c r="AG53" t="s">
        <v>54</v>
      </c>
    </row>
    <row r="54" spans="1:33">
      <c r="A54" t="s">
        <v>34</v>
      </c>
      <c r="B54" t="s">
        <v>718</v>
      </c>
      <c r="C54" t="s">
        <v>719</v>
      </c>
      <c r="D54" t="s">
        <v>720</v>
      </c>
      <c r="E54" t="s">
        <v>721</v>
      </c>
      <c r="F54" t="s">
        <v>722</v>
      </c>
      <c r="G54" t="s">
        <v>723</v>
      </c>
      <c r="H54" t="s">
        <v>724</v>
      </c>
      <c r="I54" t="s">
        <v>725</v>
      </c>
      <c r="J54" t="s">
        <v>726</v>
      </c>
      <c r="K54" t="s">
        <v>727</v>
      </c>
      <c r="L54" t="s">
        <v>728</v>
      </c>
      <c r="M54" t="s">
        <v>729</v>
      </c>
      <c r="N54" t="s">
        <v>685</v>
      </c>
      <c r="O54" t="s">
        <v>47</v>
      </c>
      <c r="P54" t="s">
        <v>47</v>
      </c>
      <c r="Q54" t="s">
        <v>47</v>
      </c>
      <c r="R54" t="s">
        <v>47</v>
      </c>
      <c r="S54" t="s">
        <v>730</v>
      </c>
      <c r="T54" t="s">
        <v>731</v>
      </c>
      <c r="U54" t="s">
        <v>47</v>
      </c>
      <c r="V54" t="s">
        <v>732</v>
      </c>
      <c r="W54" s="1" t="str">
        <f>HYPERLINK("http://dx.doi.org/10.1016/j.wasman.2014.02.022","http://dx.doi.org/10.1016/j.wasman.2014.02.022")</f>
        <v>http://dx.doi.org/10.1016/j.wasman.2014.02.022</v>
      </c>
      <c r="X54" t="s">
        <v>47</v>
      </c>
      <c r="Y54" t="s">
        <v>47</v>
      </c>
      <c r="Z54" t="s">
        <v>52</v>
      </c>
      <c r="AA54" t="s">
        <v>733</v>
      </c>
      <c r="AB54" t="s">
        <v>734</v>
      </c>
      <c r="AC54" s="1" t="str">
        <f>HYPERLINK("https://www.webofscience.com/wos/woscc/full-record/WOS:000335290100010","View Record in Web of Science")</f>
        <v>View Record in Web of Science</v>
      </c>
      <c r="AD54" t="s">
        <v>47</v>
      </c>
      <c r="AE54" t="s">
        <v>47</v>
      </c>
      <c r="AF54" t="s">
        <v>47</v>
      </c>
      <c r="AG54" t="s">
        <v>54</v>
      </c>
    </row>
    <row r="55" spans="1:33">
      <c r="A55" t="s">
        <v>735</v>
      </c>
      <c r="B55" t="s">
        <v>736</v>
      </c>
      <c r="C55" t="s">
        <v>737</v>
      </c>
      <c r="D55" t="s">
        <v>738</v>
      </c>
      <c r="E55" t="s">
        <v>739</v>
      </c>
      <c r="F55" t="s">
        <v>740</v>
      </c>
      <c r="G55" t="s">
        <v>47</v>
      </c>
      <c r="H55" t="s">
        <v>47</v>
      </c>
      <c r="I55" t="s">
        <v>741</v>
      </c>
      <c r="J55" t="s">
        <v>47</v>
      </c>
      <c r="K55" t="s">
        <v>366</v>
      </c>
      <c r="L55" t="s">
        <v>366</v>
      </c>
      <c r="M55" t="s">
        <v>742</v>
      </c>
      <c r="N55" t="s">
        <v>47</v>
      </c>
      <c r="O55" t="s">
        <v>47</v>
      </c>
      <c r="P55" t="s">
        <v>47</v>
      </c>
      <c r="Q55" t="s">
        <v>47</v>
      </c>
      <c r="R55" t="s">
        <v>47</v>
      </c>
      <c r="S55" t="s">
        <v>743</v>
      </c>
      <c r="T55" t="s">
        <v>744</v>
      </c>
      <c r="U55" t="s">
        <v>47</v>
      </c>
      <c r="V55" t="s">
        <v>47</v>
      </c>
      <c r="W55" t="s">
        <v>47</v>
      </c>
      <c r="X55" t="s">
        <v>47</v>
      </c>
      <c r="Y55" t="s">
        <v>47</v>
      </c>
      <c r="Z55" t="s">
        <v>745</v>
      </c>
      <c r="AA55" t="s">
        <v>47</v>
      </c>
      <c r="AB55" t="s">
        <v>746</v>
      </c>
      <c r="AC55" s="1" t="str">
        <f>HYPERLINK("https://www.webofscience.com/wos/woscc/full-record/WOS:000288402500097","View Record in Web of Science")</f>
        <v>View Record in Web of Science</v>
      </c>
      <c r="AD55" t="s">
        <v>47</v>
      </c>
      <c r="AE55" t="s">
        <v>47</v>
      </c>
      <c r="AF55" t="s">
        <v>47</v>
      </c>
      <c r="AG55" t="s">
        <v>54</v>
      </c>
    </row>
    <row r="56" spans="1:33">
      <c r="A56" t="s">
        <v>34</v>
      </c>
      <c r="B56" t="s">
        <v>747</v>
      </c>
      <c r="C56" t="s">
        <v>748</v>
      </c>
      <c r="D56" t="s">
        <v>749</v>
      </c>
      <c r="E56" t="s">
        <v>225</v>
      </c>
      <c r="F56" t="s">
        <v>750</v>
      </c>
      <c r="G56" t="s">
        <v>47</v>
      </c>
      <c r="H56" t="s">
        <v>751</v>
      </c>
      <c r="I56" t="s">
        <v>229</v>
      </c>
      <c r="J56" t="s">
        <v>230</v>
      </c>
      <c r="K56" t="s">
        <v>752</v>
      </c>
      <c r="L56" t="s">
        <v>753</v>
      </c>
      <c r="M56" t="s">
        <v>754</v>
      </c>
      <c r="N56" t="s">
        <v>47</v>
      </c>
      <c r="O56" t="s">
        <v>47</v>
      </c>
      <c r="P56" t="s">
        <v>47</v>
      </c>
      <c r="Q56" t="s">
        <v>47</v>
      </c>
      <c r="R56" t="s">
        <v>47</v>
      </c>
      <c r="S56" t="s">
        <v>755</v>
      </c>
      <c r="T56" t="s">
        <v>756</v>
      </c>
      <c r="U56" t="s">
        <v>47</v>
      </c>
      <c r="V56" t="s">
        <v>757</v>
      </c>
      <c r="W56" s="1" t="str">
        <f>HYPERLINK("http://dx.doi.org/10.1016/j.jclepro.2016.09.228","http://dx.doi.org/10.1016/j.jclepro.2016.09.228")</f>
        <v>http://dx.doi.org/10.1016/j.jclepro.2016.09.228</v>
      </c>
      <c r="X56" t="s">
        <v>47</v>
      </c>
      <c r="Y56" t="s">
        <v>47</v>
      </c>
      <c r="Z56" t="s">
        <v>86</v>
      </c>
      <c r="AA56" t="s">
        <v>47</v>
      </c>
      <c r="AB56" t="s">
        <v>758</v>
      </c>
      <c r="AC56" s="1" t="str">
        <f>HYPERLINK("https://www.webofscience.com/wos/woscc/full-record/WOS:000389090300135","View Record in Web of Science")</f>
        <v>View Record in Web of Science</v>
      </c>
      <c r="AD56" t="s">
        <v>47</v>
      </c>
      <c r="AE56" t="s">
        <v>47</v>
      </c>
      <c r="AF56" t="s">
        <v>47</v>
      </c>
      <c r="AG56" t="s">
        <v>54</v>
      </c>
    </row>
    <row r="57" spans="1:33">
      <c r="A57" t="s">
        <v>34</v>
      </c>
      <c r="B57" t="s">
        <v>759</v>
      </c>
      <c r="C57" t="s">
        <v>760</v>
      </c>
      <c r="D57" t="s">
        <v>761</v>
      </c>
      <c r="E57" t="s">
        <v>762</v>
      </c>
      <c r="F57" t="s">
        <v>763</v>
      </c>
      <c r="G57" t="s">
        <v>764</v>
      </c>
      <c r="H57" t="s">
        <v>765</v>
      </c>
      <c r="I57" t="s">
        <v>766</v>
      </c>
      <c r="J57" t="s">
        <v>767</v>
      </c>
      <c r="K57" t="s">
        <v>753</v>
      </c>
      <c r="L57" t="s">
        <v>753</v>
      </c>
      <c r="M57" t="s">
        <v>272</v>
      </c>
      <c r="N57" t="s">
        <v>394</v>
      </c>
      <c r="O57" t="s">
        <v>47</v>
      </c>
      <c r="P57" t="s">
        <v>47</v>
      </c>
      <c r="Q57" t="s">
        <v>47</v>
      </c>
      <c r="R57" t="s">
        <v>47</v>
      </c>
      <c r="S57" t="s">
        <v>768</v>
      </c>
      <c r="T57" t="s">
        <v>769</v>
      </c>
      <c r="U57" t="s">
        <v>47</v>
      </c>
      <c r="V57" t="s">
        <v>770</v>
      </c>
      <c r="W57" s="1" t="str">
        <f>HYPERLINK("http://dx.doi.org/10.1080/14693062.2016.1169499","http://dx.doi.org/10.1080/14693062.2016.1169499")</f>
        <v>http://dx.doi.org/10.1080/14693062.2016.1169499</v>
      </c>
      <c r="X57" t="s">
        <v>47</v>
      </c>
      <c r="Y57" t="s">
        <v>47</v>
      </c>
      <c r="Z57" t="s">
        <v>149</v>
      </c>
      <c r="AA57" t="s">
        <v>47</v>
      </c>
      <c r="AB57" t="s">
        <v>771</v>
      </c>
      <c r="AC57" s="1" t="str">
        <f>HYPERLINK("https://www.webofscience.com/wos/woscc/full-record/WOS:000411385700006","View Record in Web of Science")</f>
        <v>View Record in Web of Science</v>
      </c>
      <c r="AD57" t="s">
        <v>47</v>
      </c>
      <c r="AE57" t="s">
        <v>47</v>
      </c>
      <c r="AF57" t="s">
        <v>47</v>
      </c>
      <c r="AG57" t="s">
        <v>54</v>
      </c>
    </row>
    <row r="58" spans="1:33">
      <c r="A58" t="s">
        <v>34</v>
      </c>
      <c r="B58" t="s">
        <v>772</v>
      </c>
      <c r="C58" t="s">
        <v>773</v>
      </c>
      <c r="D58" t="s">
        <v>774</v>
      </c>
      <c r="E58" t="s">
        <v>775</v>
      </c>
      <c r="F58" t="s">
        <v>776</v>
      </c>
      <c r="G58" t="s">
        <v>47</v>
      </c>
      <c r="H58" t="s">
        <v>47</v>
      </c>
      <c r="I58" t="s">
        <v>777</v>
      </c>
      <c r="J58" t="s">
        <v>778</v>
      </c>
      <c r="K58" t="s">
        <v>779</v>
      </c>
      <c r="L58" t="s">
        <v>188</v>
      </c>
      <c r="M58" t="s">
        <v>780</v>
      </c>
      <c r="N58" t="s">
        <v>273</v>
      </c>
      <c r="O58" t="s">
        <v>47</v>
      </c>
      <c r="P58" t="s">
        <v>47</v>
      </c>
      <c r="Q58" t="s">
        <v>47</v>
      </c>
      <c r="R58" t="s">
        <v>47</v>
      </c>
      <c r="S58" t="s">
        <v>781</v>
      </c>
      <c r="T58" t="s">
        <v>782</v>
      </c>
      <c r="U58" t="s">
        <v>47</v>
      </c>
      <c r="V58" t="s">
        <v>783</v>
      </c>
      <c r="W58" s="1" t="str">
        <f>HYPERLINK("http://dx.doi.org/10.1080/03081079.2025.2534838","http://dx.doi.org/10.1080/03081079.2025.2534838")</f>
        <v>http://dx.doi.org/10.1080/03081079.2025.2534838</v>
      </c>
      <c r="X58" t="s">
        <v>47</v>
      </c>
      <c r="Y58" t="s">
        <v>784</v>
      </c>
      <c r="Z58" t="s">
        <v>52</v>
      </c>
      <c r="AA58" t="s">
        <v>47</v>
      </c>
      <c r="AB58" t="s">
        <v>785</v>
      </c>
      <c r="AC58" s="1" t="str">
        <f>HYPERLINK("https://www.webofscience.com/wos/woscc/full-record/WOS:001572949300001","View Record in Web of Science")</f>
        <v>View Record in Web of Science</v>
      </c>
      <c r="AD58" t="s">
        <v>47</v>
      </c>
      <c r="AE58" t="s">
        <v>47</v>
      </c>
      <c r="AF58" t="s">
        <v>47</v>
      </c>
      <c r="AG58" t="s">
        <v>54</v>
      </c>
    </row>
    <row r="59" spans="1:33">
      <c r="A59" t="s">
        <v>34</v>
      </c>
      <c r="B59" t="s">
        <v>786</v>
      </c>
      <c r="C59" t="s">
        <v>787</v>
      </c>
      <c r="D59" t="s">
        <v>788</v>
      </c>
      <c r="E59" t="s">
        <v>789</v>
      </c>
      <c r="F59" t="s">
        <v>790</v>
      </c>
      <c r="G59" t="s">
        <v>47</v>
      </c>
      <c r="H59" t="s">
        <v>791</v>
      </c>
      <c r="I59" t="s">
        <v>792</v>
      </c>
      <c r="J59" t="s">
        <v>793</v>
      </c>
      <c r="K59" t="s">
        <v>320</v>
      </c>
      <c r="L59" t="s">
        <v>127</v>
      </c>
      <c r="M59" t="s">
        <v>794</v>
      </c>
      <c r="N59" t="s">
        <v>675</v>
      </c>
      <c r="O59" t="s">
        <v>47</v>
      </c>
      <c r="P59" t="s">
        <v>47</v>
      </c>
      <c r="Q59" t="s">
        <v>47</v>
      </c>
      <c r="R59" t="s">
        <v>47</v>
      </c>
      <c r="S59" t="s">
        <v>795</v>
      </c>
      <c r="T59" t="s">
        <v>796</v>
      </c>
      <c r="U59" t="s">
        <v>47</v>
      </c>
      <c r="V59" t="s">
        <v>797</v>
      </c>
      <c r="W59" s="1" t="str">
        <f>HYPERLINK("http://dx.doi.org/10.1007/s10640-025-01036-3","http://dx.doi.org/10.1007/s10640-025-01036-3")</f>
        <v>http://dx.doi.org/10.1007/s10640-025-01036-3</v>
      </c>
      <c r="X59" t="s">
        <v>47</v>
      </c>
      <c r="Y59" t="s">
        <v>784</v>
      </c>
      <c r="Z59" t="s">
        <v>149</v>
      </c>
      <c r="AA59" t="s">
        <v>47</v>
      </c>
      <c r="AB59" t="s">
        <v>798</v>
      </c>
      <c r="AC59" s="1" t="str">
        <f>HYPERLINK("https://www.webofscience.com/wos/woscc/full-record/WOS:001578688900001","View Record in Web of Science")</f>
        <v>View Record in Web of Science</v>
      </c>
      <c r="AD59" t="s">
        <v>47</v>
      </c>
      <c r="AE59" t="s">
        <v>47</v>
      </c>
      <c r="AF59" t="s">
        <v>47</v>
      </c>
      <c r="AG59" t="s">
        <v>54</v>
      </c>
    </row>
    <row r="60" spans="1:33">
      <c r="A60" t="s">
        <v>34</v>
      </c>
      <c r="B60" t="s">
        <v>799</v>
      </c>
      <c r="C60" t="s">
        <v>800</v>
      </c>
      <c r="D60" t="s">
        <v>801</v>
      </c>
      <c r="E60" t="s">
        <v>802</v>
      </c>
      <c r="F60" t="s">
        <v>803</v>
      </c>
      <c r="G60" t="s">
        <v>804</v>
      </c>
      <c r="H60" t="s">
        <v>805</v>
      </c>
      <c r="I60" t="s">
        <v>47</v>
      </c>
      <c r="J60" t="s">
        <v>806</v>
      </c>
      <c r="K60" t="s">
        <v>409</v>
      </c>
      <c r="L60" t="s">
        <v>64</v>
      </c>
      <c r="M60" t="s">
        <v>394</v>
      </c>
      <c r="N60" t="s">
        <v>273</v>
      </c>
      <c r="O60" t="s">
        <v>47</v>
      </c>
      <c r="P60" t="s">
        <v>47</v>
      </c>
      <c r="Q60" t="s">
        <v>47</v>
      </c>
      <c r="R60" t="s">
        <v>47</v>
      </c>
      <c r="S60" t="s">
        <v>47</v>
      </c>
      <c r="T60" t="s">
        <v>47</v>
      </c>
      <c r="U60" t="s">
        <v>780</v>
      </c>
      <c r="V60" t="s">
        <v>807</v>
      </c>
      <c r="W60" s="1" t="str">
        <f>HYPERLINK("http://dx.doi.org/10.3390/logistics6030055","http://dx.doi.org/10.3390/logistics6030055")</f>
        <v>http://dx.doi.org/10.3390/logistics6030055</v>
      </c>
      <c r="X60" t="s">
        <v>47</v>
      </c>
      <c r="Y60" t="s">
        <v>47</v>
      </c>
      <c r="Z60" t="s">
        <v>194</v>
      </c>
      <c r="AA60" t="s">
        <v>47</v>
      </c>
      <c r="AB60" t="s">
        <v>808</v>
      </c>
      <c r="AC60" s="1" t="str">
        <f>HYPERLINK("https://www.webofscience.com/wos/woscc/full-record/WOS:000860106100001","View Record in Web of Science")</f>
        <v>View Record in Web of Science</v>
      </c>
      <c r="AD60" t="s">
        <v>47</v>
      </c>
      <c r="AE60" t="s">
        <v>47</v>
      </c>
      <c r="AF60" t="s">
        <v>47</v>
      </c>
      <c r="AG60" t="s">
        <v>54</v>
      </c>
    </row>
    <row r="61" spans="1:33">
      <c r="A61" t="s">
        <v>34</v>
      </c>
      <c r="B61" t="s">
        <v>809</v>
      </c>
      <c r="C61" t="s">
        <v>810</v>
      </c>
      <c r="D61" t="s">
        <v>811</v>
      </c>
      <c r="E61" t="s">
        <v>553</v>
      </c>
      <c r="F61" t="s">
        <v>812</v>
      </c>
      <c r="G61" t="s">
        <v>813</v>
      </c>
      <c r="H61" t="s">
        <v>814</v>
      </c>
      <c r="I61" t="s">
        <v>557</v>
      </c>
      <c r="J61" t="s">
        <v>558</v>
      </c>
      <c r="K61" t="s">
        <v>815</v>
      </c>
      <c r="L61" t="s">
        <v>45</v>
      </c>
      <c r="M61" t="s">
        <v>444</v>
      </c>
      <c r="N61" t="s">
        <v>273</v>
      </c>
      <c r="O61" t="s">
        <v>47</v>
      </c>
      <c r="P61" t="s">
        <v>47</v>
      </c>
      <c r="Q61" t="s">
        <v>47</v>
      </c>
      <c r="R61" t="s">
        <v>47</v>
      </c>
      <c r="S61" t="s">
        <v>816</v>
      </c>
      <c r="T61" t="s">
        <v>817</v>
      </c>
      <c r="U61" t="s">
        <v>47</v>
      </c>
      <c r="V61" t="s">
        <v>818</v>
      </c>
      <c r="W61" s="1" t="str">
        <f>HYPERLINK("http://dx.doi.org/10.1080/00207543.2023.2175173","http://dx.doi.org/10.1080/00207543.2023.2175173")</f>
        <v>http://dx.doi.org/10.1080/00207543.2023.2175173</v>
      </c>
      <c r="X61" t="s">
        <v>47</v>
      </c>
      <c r="Y61" t="s">
        <v>819</v>
      </c>
      <c r="Z61" t="s">
        <v>52</v>
      </c>
      <c r="AA61" t="s">
        <v>47</v>
      </c>
      <c r="AB61" t="s">
        <v>820</v>
      </c>
      <c r="AC61" s="1" t="str">
        <f>HYPERLINK("https://www.webofscience.com/wos/woscc/full-record/WOS:000943729700001","View Record in Web of Science")</f>
        <v>View Record in Web of Science</v>
      </c>
      <c r="AD61" t="s">
        <v>47</v>
      </c>
      <c r="AE61" t="s">
        <v>47</v>
      </c>
      <c r="AF61" t="s">
        <v>47</v>
      </c>
      <c r="AG61" t="s">
        <v>54</v>
      </c>
    </row>
    <row r="62" spans="1:33">
      <c r="A62" t="s">
        <v>34</v>
      </c>
      <c r="B62" t="s">
        <v>821</v>
      </c>
      <c r="C62" t="s">
        <v>822</v>
      </c>
      <c r="D62" t="s">
        <v>823</v>
      </c>
      <c r="E62" t="s">
        <v>58</v>
      </c>
      <c r="F62" t="s">
        <v>824</v>
      </c>
      <c r="G62" t="s">
        <v>825</v>
      </c>
      <c r="H62" t="s">
        <v>826</v>
      </c>
      <c r="I62" t="s">
        <v>61</v>
      </c>
      <c r="J62" t="s">
        <v>62</v>
      </c>
      <c r="K62" t="s">
        <v>47</v>
      </c>
      <c r="L62" t="s">
        <v>127</v>
      </c>
      <c r="M62" t="s">
        <v>47</v>
      </c>
      <c r="N62" t="s">
        <v>47</v>
      </c>
      <c r="O62" t="s">
        <v>47</v>
      </c>
      <c r="P62" t="s">
        <v>47</v>
      </c>
      <c r="Q62" t="s">
        <v>47</v>
      </c>
      <c r="R62" t="s">
        <v>47</v>
      </c>
      <c r="S62" t="s">
        <v>47</v>
      </c>
      <c r="T62" t="s">
        <v>47</v>
      </c>
      <c r="U62" t="s">
        <v>47</v>
      </c>
      <c r="V62" t="s">
        <v>827</v>
      </c>
      <c r="W62" s="1" t="str">
        <f>HYPERLINK("http://dx.doi.org/10.1007/s10479-025-06788-1","http://dx.doi.org/10.1007/s10479-025-06788-1")</f>
        <v>http://dx.doi.org/10.1007/s10479-025-06788-1</v>
      </c>
      <c r="X62" t="s">
        <v>47</v>
      </c>
      <c r="Y62" t="s">
        <v>193</v>
      </c>
      <c r="Z62" t="s">
        <v>52</v>
      </c>
      <c r="AA62" t="s">
        <v>47</v>
      </c>
      <c r="AB62" t="s">
        <v>828</v>
      </c>
      <c r="AC62" s="1" t="str">
        <f>HYPERLINK("https://www.webofscience.com/wos/woscc/full-record/WOS:001550027500001","View Record in Web of Science")</f>
        <v>View Record in Web of Science</v>
      </c>
      <c r="AD62" t="s">
        <v>47</v>
      </c>
      <c r="AE62" t="s">
        <v>47</v>
      </c>
      <c r="AF62" t="s">
        <v>47</v>
      </c>
      <c r="AG62" t="s">
        <v>54</v>
      </c>
    </row>
    <row r="63" spans="1:33">
      <c r="A63" t="s">
        <v>34</v>
      </c>
      <c r="B63" t="s">
        <v>829</v>
      </c>
      <c r="C63" t="s">
        <v>830</v>
      </c>
      <c r="D63" t="s">
        <v>831</v>
      </c>
      <c r="E63" t="s">
        <v>832</v>
      </c>
      <c r="F63" t="s">
        <v>833</v>
      </c>
      <c r="G63" t="s">
        <v>47</v>
      </c>
      <c r="H63" t="s">
        <v>834</v>
      </c>
      <c r="I63" t="s">
        <v>835</v>
      </c>
      <c r="J63" t="s">
        <v>836</v>
      </c>
      <c r="K63" t="s">
        <v>47</v>
      </c>
      <c r="L63" t="s">
        <v>127</v>
      </c>
      <c r="M63" t="s">
        <v>47</v>
      </c>
      <c r="N63" t="s">
        <v>47</v>
      </c>
      <c r="O63" t="s">
        <v>47</v>
      </c>
      <c r="P63" t="s">
        <v>47</v>
      </c>
      <c r="Q63" t="s">
        <v>47</v>
      </c>
      <c r="R63" t="s">
        <v>47</v>
      </c>
      <c r="S63" t="s">
        <v>47</v>
      </c>
      <c r="T63" t="s">
        <v>47</v>
      </c>
      <c r="U63" t="s">
        <v>47</v>
      </c>
      <c r="V63" t="s">
        <v>837</v>
      </c>
      <c r="W63" s="1" t="str">
        <f>HYPERLINK("http://dx.doi.org/10.1007/s12597-025-01008-7","http://dx.doi.org/10.1007/s12597-025-01008-7")</f>
        <v>http://dx.doi.org/10.1007/s12597-025-01008-7</v>
      </c>
      <c r="X63" t="s">
        <v>47</v>
      </c>
      <c r="Y63" t="s">
        <v>784</v>
      </c>
      <c r="Z63" t="s">
        <v>194</v>
      </c>
      <c r="AA63" t="s">
        <v>47</v>
      </c>
      <c r="AB63" t="s">
        <v>838</v>
      </c>
      <c r="AC63" s="1" t="str">
        <f>HYPERLINK("https://www.webofscience.com/wos/woscc/full-record/WOS:001574304600001","View Record in Web of Science")</f>
        <v>View Record in Web of Science</v>
      </c>
      <c r="AD63" t="s">
        <v>47</v>
      </c>
      <c r="AE63" t="s">
        <v>47</v>
      </c>
      <c r="AF63" t="s">
        <v>47</v>
      </c>
      <c r="AG63" t="s">
        <v>54</v>
      </c>
    </row>
    <row r="64" spans="1:33">
      <c r="A64" t="s">
        <v>34</v>
      </c>
      <c r="B64" t="s">
        <v>839</v>
      </c>
      <c r="C64" t="s">
        <v>840</v>
      </c>
      <c r="D64" t="s">
        <v>841</v>
      </c>
      <c r="E64" t="s">
        <v>107</v>
      </c>
      <c r="F64" t="s">
        <v>842</v>
      </c>
      <c r="G64" t="s">
        <v>843</v>
      </c>
      <c r="H64" t="s">
        <v>844</v>
      </c>
      <c r="I64" t="s">
        <v>47</v>
      </c>
      <c r="J64" t="s">
        <v>111</v>
      </c>
      <c r="K64" t="s">
        <v>262</v>
      </c>
      <c r="L64" t="s">
        <v>845</v>
      </c>
      <c r="M64" t="s">
        <v>393</v>
      </c>
      <c r="N64" t="s">
        <v>286</v>
      </c>
      <c r="O64" t="s">
        <v>47</v>
      </c>
      <c r="P64" t="s">
        <v>47</v>
      </c>
      <c r="Q64" t="s">
        <v>47</v>
      </c>
      <c r="R64" t="s">
        <v>47</v>
      </c>
      <c r="S64" t="s">
        <v>47</v>
      </c>
      <c r="T64" t="s">
        <v>47</v>
      </c>
      <c r="U64" t="s">
        <v>846</v>
      </c>
      <c r="V64" t="s">
        <v>847</v>
      </c>
      <c r="W64" s="1" t="str">
        <f>HYPERLINK("http://dx.doi.org/10.3390/ijerph182010804","http://dx.doi.org/10.3390/ijerph182010804")</f>
        <v>http://dx.doi.org/10.3390/ijerph182010804</v>
      </c>
      <c r="X64" t="s">
        <v>47</v>
      </c>
      <c r="Y64" t="s">
        <v>47</v>
      </c>
      <c r="Z64" t="s">
        <v>86</v>
      </c>
      <c r="AA64" t="s">
        <v>848</v>
      </c>
      <c r="AB64" t="s">
        <v>849</v>
      </c>
      <c r="AC64" s="1" t="str">
        <f>HYPERLINK("https://www.webofscience.com/wos/woscc/full-record/WOS:000714865400001","View Record in Web of Science")</f>
        <v>View Record in Web of Science</v>
      </c>
      <c r="AD64" t="s">
        <v>47</v>
      </c>
      <c r="AE64" t="s">
        <v>47</v>
      </c>
      <c r="AF64" t="s">
        <v>47</v>
      </c>
      <c r="AG64" t="s">
        <v>54</v>
      </c>
    </row>
    <row r="65" spans="1:33">
      <c r="A65" t="s">
        <v>34</v>
      </c>
      <c r="B65" t="s">
        <v>850</v>
      </c>
      <c r="C65" t="s">
        <v>851</v>
      </c>
      <c r="D65" t="s">
        <v>852</v>
      </c>
      <c r="E65" t="s">
        <v>91</v>
      </c>
      <c r="F65" t="s">
        <v>853</v>
      </c>
      <c r="G65" t="s">
        <v>466</v>
      </c>
      <c r="H65" t="s">
        <v>854</v>
      </c>
      <c r="I65" t="s">
        <v>94</v>
      </c>
      <c r="J65" t="s">
        <v>95</v>
      </c>
      <c r="K65" t="s">
        <v>855</v>
      </c>
      <c r="L65" t="s">
        <v>845</v>
      </c>
      <c r="M65" t="s">
        <v>272</v>
      </c>
      <c r="N65" t="s">
        <v>685</v>
      </c>
      <c r="O65" t="s">
        <v>47</v>
      </c>
      <c r="P65" t="s">
        <v>47</v>
      </c>
      <c r="Q65" t="s">
        <v>47</v>
      </c>
      <c r="R65" t="s">
        <v>47</v>
      </c>
      <c r="S65" t="s">
        <v>856</v>
      </c>
      <c r="T65" t="s">
        <v>857</v>
      </c>
      <c r="U65" t="s">
        <v>47</v>
      </c>
      <c r="V65" t="s">
        <v>858</v>
      </c>
      <c r="W65" s="1" t="str">
        <f>HYPERLINK("http://dx.doi.org/10.3934/jimo.2020078","http://dx.doi.org/10.3934/jimo.2020078")</f>
        <v>http://dx.doi.org/10.3934/jimo.2020078</v>
      </c>
      <c r="X65" t="s">
        <v>47</v>
      </c>
      <c r="Y65" t="s">
        <v>47</v>
      </c>
      <c r="Z65" t="s">
        <v>86</v>
      </c>
      <c r="AA65" t="s">
        <v>47</v>
      </c>
      <c r="AB65" t="s">
        <v>859</v>
      </c>
      <c r="AC65" s="1" t="str">
        <f>HYPERLINK("https://www.webofscience.com/wos/woscc/full-record/WOS:000740705700011","View Record in Web of Science")</f>
        <v>View Record in Web of Science</v>
      </c>
      <c r="AD65" t="s">
        <v>47</v>
      </c>
      <c r="AE65" t="s">
        <v>47</v>
      </c>
      <c r="AF65" t="s">
        <v>47</v>
      </c>
      <c r="AG65" t="s">
        <v>54</v>
      </c>
    </row>
    <row r="66" spans="1:33">
      <c r="A66" t="s">
        <v>34</v>
      </c>
      <c r="B66" t="s">
        <v>860</v>
      </c>
      <c r="C66" t="s">
        <v>861</v>
      </c>
      <c r="D66" t="s">
        <v>862</v>
      </c>
      <c r="E66" t="s">
        <v>863</v>
      </c>
      <c r="F66" t="s">
        <v>864</v>
      </c>
      <c r="G66" t="s">
        <v>865</v>
      </c>
      <c r="H66" t="s">
        <v>866</v>
      </c>
      <c r="I66" t="s">
        <v>867</v>
      </c>
      <c r="J66" t="s">
        <v>868</v>
      </c>
      <c r="K66" t="s">
        <v>869</v>
      </c>
      <c r="L66" t="s">
        <v>595</v>
      </c>
      <c r="M66" t="s">
        <v>595</v>
      </c>
      <c r="N66" t="s">
        <v>47</v>
      </c>
      <c r="O66" t="s">
        <v>47</v>
      </c>
      <c r="P66" t="s">
        <v>47</v>
      </c>
      <c r="Q66" t="s">
        <v>47</v>
      </c>
      <c r="R66" t="s">
        <v>47</v>
      </c>
      <c r="S66" t="s">
        <v>47</v>
      </c>
      <c r="T66" t="s">
        <v>47</v>
      </c>
      <c r="U66" t="s">
        <v>870</v>
      </c>
      <c r="V66" t="s">
        <v>871</v>
      </c>
      <c r="W66" s="1" t="str">
        <f>HYPERLINK("http://dx.doi.org/10.1155/2020/2313698","http://dx.doi.org/10.1155/2020/2313698")</f>
        <v>http://dx.doi.org/10.1155/2020/2313698</v>
      </c>
      <c r="X66" t="s">
        <v>47</v>
      </c>
      <c r="Y66" t="s">
        <v>47</v>
      </c>
      <c r="Z66" t="s">
        <v>86</v>
      </c>
      <c r="AA66" t="s">
        <v>47</v>
      </c>
      <c r="AB66" t="s">
        <v>872</v>
      </c>
      <c r="AC66" s="1" t="str">
        <f>HYPERLINK("https://www.webofscience.com/wos/woscc/full-record/WOS:000540590200003","View Record in Web of Science")</f>
        <v>View Record in Web of Science</v>
      </c>
      <c r="AD66" t="s">
        <v>47</v>
      </c>
      <c r="AE66" t="s">
        <v>47</v>
      </c>
      <c r="AF66" t="s">
        <v>47</v>
      </c>
      <c r="AG66" t="s">
        <v>54</v>
      </c>
    </row>
    <row r="67" spans="1:33">
      <c r="A67" t="s">
        <v>34</v>
      </c>
      <c r="B67" t="s">
        <v>873</v>
      </c>
      <c r="C67" t="s">
        <v>874</v>
      </c>
      <c r="D67" t="s">
        <v>875</v>
      </c>
      <c r="E67" t="s">
        <v>876</v>
      </c>
      <c r="F67" t="s">
        <v>877</v>
      </c>
      <c r="G67" t="s">
        <v>878</v>
      </c>
      <c r="H67" t="s">
        <v>47</v>
      </c>
      <c r="I67" t="s">
        <v>879</v>
      </c>
      <c r="J67" t="s">
        <v>880</v>
      </c>
      <c r="K67" t="s">
        <v>47</v>
      </c>
      <c r="L67" t="s">
        <v>127</v>
      </c>
      <c r="M67" t="s">
        <v>47</v>
      </c>
      <c r="N67" t="s">
        <v>47</v>
      </c>
      <c r="O67" t="s">
        <v>47</v>
      </c>
      <c r="P67" t="s">
        <v>47</v>
      </c>
      <c r="Q67" t="s">
        <v>47</v>
      </c>
      <c r="R67" t="s">
        <v>47</v>
      </c>
      <c r="S67" t="s">
        <v>47</v>
      </c>
      <c r="T67" t="s">
        <v>47</v>
      </c>
      <c r="U67" t="s">
        <v>47</v>
      </c>
      <c r="V67" t="s">
        <v>881</v>
      </c>
      <c r="W67" s="1" t="str">
        <f>HYPERLINK("http://dx.doi.org/10.1007/s10100-025-00995-8","http://dx.doi.org/10.1007/s10100-025-00995-8")</f>
        <v>http://dx.doi.org/10.1007/s10100-025-00995-8</v>
      </c>
      <c r="X67" t="s">
        <v>47</v>
      </c>
      <c r="Y67" t="s">
        <v>126</v>
      </c>
      <c r="Z67" t="s">
        <v>52</v>
      </c>
      <c r="AA67" t="s">
        <v>47</v>
      </c>
      <c r="AB67" t="s">
        <v>882</v>
      </c>
      <c r="AC67" s="1" t="str">
        <f>HYPERLINK("https://www.webofscience.com/wos/woscc/full-record/WOS:001587572200001","View Record in Web of Science")</f>
        <v>View Record in Web of Science</v>
      </c>
      <c r="AD67" t="s">
        <v>47</v>
      </c>
      <c r="AE67" t="s">
        <v>47</v>
      </c>
      <c r="AF67" t="s">
        <v>47</v>
      </c>
      <c r="AG67" t="s">
        <v>54</v>
      </c>
    </row>
    <row r="68" spans="1:33">
      <c r="A68" t="s">
        <v>34</v>
      </c>
      <c r="B68" t="s">
        <v>883</v>
      </c>
      <c r="C68" t="s">
        <v>884</v>
      </c>
      <c r="D68" t="s">
        <v>885</v>
      </c>
      <c r="E68" t="s">
        <v>886</v>
      </c>
      <c r="F68" t="s">
        <v>887</v>
      </c>
      <c r="G68" t="s">
        <v>888</v>
      </c>
      <c r="H68" t="s">
        <v>47</v>
      </c>
      <c r="I68" t="s">
        <v>889</v>
      </c>
      <c r="J68" t="s">
        <v>47</v>
      </c>
      <c r="K68" t="s">
        <v>320</v>
      </c>
      <c r="L68" t="s">
        <v>127</v>
      </c>
      <c r="M68" t="s">
        <v>675</v>
      </c>
      <c r="N68" t="s">
        <v>47</v>
      </c>
      <c r="O68" t="s">
        <v>47</v>
      </c>
      <c r="P68" t="s">
        <v>47</v>
      </c>
      <c r="Q68" t="s">
        <v>47</v>
      </c>
      <c r="R68" t="s">
        <v>47</v>
      </c>
      <c r="S68" t="s">
        <v>47</v>
      </c>
      <c r="T68" t="s">
        <v>47</v>
      </c>
      <c r="U68" t="s">
        <v>890</v>
      </c>
      <c r="V68" t="s">
        <v>891</v>
      </c>
      <c r="W68" s="1" t="str">
        <f>HYPERLINK("http://dx.doi.org/10.1016/j.fufo.2025.100771","http://dx.doi.org/10.1016/j.fufo.2025.100771")</f>
        <v>http://dx.doi.org/10.1016/j.fufo.2025.100771</v>
      </c>
      <c r="X68" t="s">
        <v>47</v>
      </c>
      <c r="Y68" t="s">
        <v>126</v>
      </c>
      <c r="Z68" t="s">
        <v>194</v>
      </c>
      <c r="AA68" t="s">
        <v>47</v>
      </c>
      <c r="AB68" t="s">
        <v>892</v>
      </c>
      <c r="AC68" s="1" t="str">
        <f>HYPERLINK("https://www.webofscience.com/wos/woscc/full-record/WOS:001588914100001","View Record in Web of Science")</f>
        <v>View Record in Web of Science</v>
      </c>
      <c r="AD68" t="s">
        <v>47</v>
      </c>
      <c r="AE68" t="s">
        <v>47</v>
      </c>
      <c r="AF68" t="s">
        <v>47</v>
      </c>
      <c r="AG68" t="s">
        <v>54</v>
      </c>
    </row>
    <row r="69" spans="1:33">
      <c r="A69" t="s">
        <v>34</v>
      </c>
      <c r="B69" t="s">
        <v>893</v>
      </c>
      <c r="C69" t="s">
        <v>894</v>
      </c>
      <c r="D69" t="s">
        <v>895</v>
      </c>
      <c r="E69" t="s">
        <v>294</v>
      </c>
      <c r="F69" t="s">
        <v>896</v>
      </c>
      <c r="G69" t="s">
        <v>47</v>
      </c>
      <c r="H69" t="s">
        <v>47</v>
      </c>
      <c r="I69" t="s">
        <v>296</v>
      </c>
      <c r="J69" t="s">
        <v>297</v>
      </c>
      <c r="K69" t="s">
        <v>378</v>
      </c>
      <c r="L69" t="s">
        <v>188</v>
      </c>
      <c r="M69" t="s">
        <v>897</v>
      </c>
      <c r="N69" t="s">
        <v>47</v>
      </c>
      <c r="O69" t="s">
        <v>47</v>
      </c>
      <c r="P69" t="s">
        <v>47</v>
      </c>
      <c r="Q69" t="s">
        <v>47</v>
      </c>
      <c r="R69" t="s">
        <v>47</v>
      </c>
      <c r="S69" t="s">
        <v>47</v>
      </c>
      <c r="T69" t="s">
        <v>47</v>
      </c>
      <c r="U69" t="s">
        <v>898</v>
      </c>
      <c r="V69" t="s">
        <v>899</v>
      </c>
      <c r="W69" s="1" t="str">
        <f>HYPERLINK("http://dx.doi.org/10.1016/j.tre.2025.104521","http://dx.doi.org/10.1016/j.tre.2025.104521")</f>
        <v>http://dx.doi.org/10.1016/j.tre.2025.104521</v>
      </c>
      <c r="X69" t="s">
        <v>47</v>
      </c>
      <c r="Y69" t="s">
        <v>298</v>
      </c>
      <c r="Z69" t="s">
        <v>86</v>
      </c>
      <c r="AA69" t="s">
        <v>47</v>
      </c>
      <c r="AB69" t="s">
        <v>900</v>
      </c>
      <c r="AC69" s="1" t="str">
        <f>HYPERLINK("https://www.webofscience.com/wos/woscc/full-record/WOS:001626185100009","View Record in Web of Science")</f>
        <v>View Record in Web of Science</v>
      </c>
      <c r="AD69" t="s">
        <v>47</v>
      </c>
      <c r="AE69" t="s">
        <v>47</v>
      </c>
      <c r="AF69" t="s">
        <v>47</v>
      </c>
      <c r="AG69" t="s">
        <v>54</v>
      </c>
    </row>
    <row r="70" spans="1:33">
      <c r="A70" t="s">
        <v>34</v>
      </c>
      <c r="B70" t="s">
        <v>901</v>
      </c>
      <c r="C70" t="s">
        <v>902</v>
      </c>
      <c r="D70" t="s">
        <v>903</v>
      </c>
      <c r="E70" t="s">
        <v>904</v>
      </c>
      <c r="F70" t="s">
        <v>905</v>
      </c>
      <c r="G70" t="s">
        <v>906</v>
      </c>
      <c r="H70" t="s">
        <v>907</v>
      </c>
      <c r="I70" t="s">
        <v>908</v>
      </c>
      <c r="J70" t="s">
        <v>909</v>
      </c>
      <c r="K70" t="s">
        <v>910</v>
      </c>
      <c r="L70" t="s">
        <v>64</v>
      </c>
      <c r="M70" t="s">
        <v>64</v>
      </c>
      <c r="N70" t="s">
        <v>47</v>
      </c>
      <c r="O70" t="s">
        <v>47</v>
      </c>
      <c r="P70" t="s">
        <v>47</v>
      </c>
      <c r="Q70" t="s">
        <v>47</v>
      </c>
      <c r="R70" t="s">
        <v>47</v>
      </c>
      <c r="S70" t="s">
        <v>47</v>
      </c>
      <c r="T70" t="s">
        <v>47</v>
      </c>
      <c r="U70" t="s">
        <v>911</v>
      </c>
      <c r="V70" t="s">
        <v>912</v>
      </c>
      <c r="W70" s="1" t="str">
        <f>HYPERLINK("http://dx.doi.org/10.1155/2022/8378639","http://dx.doi.org/10.1155/2022/8378639")</f>
        <v>http://dx.doi.org/10.1155/2022/8378639</v>
      </c>
      <c r="X70" t="s">
        <v>47</v>
      </c>
      <c r="Y70" t="s">
        <v>47</v>
      </c>
      <c r="Z70" t="s">
        <v>52</v>
      </c>
      <c r="AA70" t="s">
        <v>47</v>
      </c>
      <c r="AB70" t="s">
        <v>913</v>
      </c>
      <c r="AC70" s="1" t="str">
        <f>HYPERLINK("https://www.webofscience.com/wos/woscc/full-record/WOS:000773073400001","View Record in Web of Science")</f>
        <v>View Record in Web of Science</v>
      </c>
      <c r="AD70" t="s">
        <v>47</v>
      </c>
      <c r="AE70" t="s">
        <v>47</v>
      </c>
      <c r="AF70" t="s">
        <v>47</v>
      </c>
      <c r="AG70" t="s">
        <v>54</v>
      </c>
    </row>
    <row r="71" spans="1:33">
      <c r="A71" t="s">
        <v>34</v>
      </c>
      <c r="B71" t="s">
        <v>914</v>
      </c>
      <c r="C71" t="s">
        <v>915</v>
      </c>
      <c r="D71" t="s">
        <v>916</v>
      </c>
      <c r="E71" t="s">
        <v>789</v>
      </c>
      <c r="F71" t="s">
        <v>917</v>
      </c>
      <c r="G71" t="s">
        <v>918</v>
      </c>
      <c r="H71" t="s">
        <v>919</v>
      </c>
      <c r="I71" t="s">
        <v>792</v>
      </c>
      <c r="J71" t="s">
        <v>793</v>
      </c>
      <c r="K71" t="s">
        <v>920</v>
      </c>
      <c r="L71" t="s">
        <v>64</v>
      </c>
      <c r="M71" t="s">
        <v>921</v>
      </c>
      <c r="N71" t="s">
        <v>273</v>
      </c>
      <c r="O71" t="s">
        <v>47</v>
      </c>
      <c r="P71" t="s">
        <v>47</v>
      </c>
      <c r="Q71" t="s">
        <v>47</v>
      </c>
      <c r="R71" t="s">
        <v>47</v>
      </c>
      <c r="S71" t="s">
        <v>922</v>
      </c>
      <c r="T71" t="s">
        <v>923</v>
      </c>
      <c r="U71" t="s">
        <v>47</v>
      </c>
      <c r="V71" t="s">
        <v>924</v>
      </c>
      <c r="W71" s="1" t="str">
        <f>HYPERLINK("http://dx.doi.org/10.1007/s10640-022-00711-z","http://dx.doi.org/10.1007/s10640-022-00711-z")</f>
        <v>http://dx.doi.org/10.1007/s10640-022-00711-z</v>
      </c>
      <c r="X71" t="s">
        <v>47</v>
      </c>
      <c r="Y71" t="s">
        <v>501</v>
      </c>
      <c r="Z71" t="s">
        <v>149</v>
      </c>
      <c r="AA71" t="s">
        <v>47</v>
      </c>
      <c r="AB71" t="s">
        <v>925</v>
      </c>
      <c r="AC71" s="1" t="str">
        <f>HYPERLINK("https://www.webofscience.com/wos/woscc/full-record/WOS:000835622400001","View Record in Web of Science")</f>
        <v>View Record in Web of Science</v>
      </c>
      <c r="AD71" t="s">
        <v>47</v>
      </c>
      <c r="AE71" t="s">
        <v>47</v>
      </c>
      <c r="AF71" t="s">
        <v>47</v>
      </c>
      <c r="AG71" t="s">
        <v>54</v>
      </c>
    </row>
    <row r="72" spans="1:33">
      <c r="A72" t="s">
        <v>34</v>
      </c>
      <c r="B72" t="s">
        <v>926</v>
      </c>
      <c r="C72" t="s">
        <v>927</v>
      </c>
      <c r="D72" t="s">
        <v>928</v>
      </c>
      <c r="E72" t="s">
        <v>553</v>
      </c>
      <c r="F72" t="s">
        <v>929</v>
      </c>
      <c r="G72" t="s">
        <v>930</v>
      </c>
      <c r="H72" t="s">
        <v>931</v>
      </c>
      <c r="I72" t="s">
        <v>557</v>
      </c>
      <c r="J72" t="s">
        <v>558</v>
      </c>
      <c r="K72" t="s">
        <v>932</v>
      </c>
      <c r="L72" t="s">
        <v>933</v>
      </c>
      <c r="M72" t="s">
        <v>934</v>
      </c>
      <c r="N72" t="s">
        <v>66</v>
      </c>
      <c r="O72" t="s">
        <v>47</v>
      </c>
      <c r="P72" t="s">
        <v>47</v>
      </c>
      <c r="Q72" t="s">
        <v>47</v>
      </c>
      <c r="R72" t="s">
        <v>47</v>
      </c>
      <c r="S72" t="s">
        <v>935</v>
      </c>
      <c r="T72" t="s">
        <v>375</v>
      </c>
      <c r="U72" t="s">
        <v>47</v>
      </c>
      <c r="V72" t="s">
        <v>936</v>
      </c>
      <c r="W72" s="1" t="str">
        <f>HYPERLINK("http://dx.doi.org/10.1080/00207543.2014.957875","http://dx.doi.org/10.1080/00207543.2014.957875")</f>
        <v>http://dx.doi.org/10.1080/00207543.2014.957875</v>
      </c>
      <c r="X72" t="s">
        <v>47</v>
      </c>
      <c r="Y72" t="s">
        <v>47</v>
      </c>
      <c r="Z72" t="s">
        <v>86</v>
      </c>
      <c r="AA72" t="s">
        <v>47</v>
      </c>
      <c r="AB72" t="s">
        <v>937</v>
      </c>
      <c r="AC72" s="1" t="str">
        <f>HYPERLINK("https://www.webofscience.com/wos/woscc/full-record/WOS:000345001500012","View Record in Web of Science")</f>
        <v>View Record in Web of Science</v>
      </c>
      <c r="AD72" t="s">
        <v>47</v>
      </c>
      <c r="AE72" t="s">
        <v>47</v>
      </c>
      <c r="AF72" t="s">
        <v>47</v>
      </c>
      <c r="AG72" t="s">
        <v>54</v>
      </c>
    </row>
    <row r="73" spans="1:33">
      <c r="A73" t="s">
        <v>34</v>
      </c>
      <c r="B73" t="s">
        <v>938</v>
      </c>
      <c r="C73" t="s">
        <v>939</v>
      </c>
      <c r="D73" t="s">
        <v>940</v>
      </c>
      <c r="E73" t="s">
        <v>941</v>
      </c>
      <c r="F73" t="s">
        <v>942</v>
      </c>
      <c r="G73" t="s">
        <v>47</v>
      </c>
      <c r="H73" t="s">
        <v>943</v>
      </c>
      <c r="I73" t="s">
        <v>944</v>
      </c>
      <c r="J73" t="s">
        <v>945</v>
      </c>
      <c r="K73" t="s">
        <v>946</v>
      </c>
      <c r="L73" t="s">
        <v>143</v>
      </c>
      <c r="M73" t="s">
        <v>947</v>
      </c>
      <c r="N73" t="s">
        <v>47</v>
      </c>
      <c r="O73" t="s">
        <v>47</v>
      </c>
      <c r="P73" t="s">
        <v>47</v>
      </c>
      <c r="Q73" t="s">
        <v>47</v>
      </c>
      <c r="R73" t="s">
        <v>47</v>
      </c>
      <c r="S73" t="s">
        <v>948</v>
      </c>
      <c r="T73" t="s">
        <v>949</v>
      </c>
      <c r="U73" t="s">
        <v>47</v>
      </c>
      <c r="V73" t="s">
        <v>950</v>
      </c>
      <c r="W73" s="1" t="str">
        <f>HYPERLINK("http://dx.doi.org/10.1016/j.enpol.2012.01.066","http://dx.doi.org/10.1016/j.enpol.2012.01.066")</f>
        <v>http://dx.doi.org/10.1016/j.enpol.2012.01.066</v>
      </c>
      <c r="X73" t="s">
        <v>47</v>
      </c>
      <c r="Y73" t="s">
        <v>47</v>
      </c>
      <c r="Z73" t="s">
        <v>86</v>
      </c>
      <c r="AA73" t="s">
        <v>47</v>
      </c>
      <c r="AB73" t="s">
        <v>951</v>
      </c>
      <c r="AC73" s="1" t="str">
        <f>HYPERLINK("https://www.webofscience.com/wos/woscc/full-record/WOS:000302848700034","View Record in Web of Science")</f>
        <v>View Record in Web of Science</v>
      </c>
      <c r="AD73" t="s">
        <v>47</v>
      </c>
      <c r="AE73" t="s">
        <v>47</v>
      </c>
      <c r="AF73" t="s">
        <v>47</v>
      </c>
      <c r="AG73" t="s">
        <v>54</v>
      </c>
    </row>
    <row r="74" spans="1:33">
      <c r="A74" t="s">
        <v>34</v>
      </c>
      <c r="B74" t="s">
        <v>952</v>
      </c>
      <c r="C74" t="s">
        <v>953</v>
      </c>
      <c r="D74" t="s">
        <v>954</v>
      </c>
      <c r="E74" t="s">
        <v>76</v>
      </c>
      <c r="F74" t="s">
        <v>955</v>
      </c>
      <c r="G74" t="s">
        <v>956</v>
      </c>
      <c r="H74" t="s">
        <v>957</v>
      </c>
      <c r="I74" t="s">
        <v>80</v>
      </c>
      <c r="J74" t="s">
        <v>81</v>
      </c>
      <c r="K74" t="s">
        <v>51</v>
      </c>
      <c r="L74" t="s">
        <v>45</v>
      </c>
      <c r="M74" t="s">
        <v>958</v>
      </c>
      <c r="N74" t="s">
        <v>47</v>
      </c>
      <c r="O74" t="s">
        <v>47</v>
      </c>
      <c r="P74" t="s">
        <v>47</v>
      </c>
      <c r="Q74" t="s">
        <v>47</v>
      </c>
      <c r="R74" t="s">
        <v>47</v>
      </c>
      <c r="S74" t="s">
        <v>47</v>
      </c>
      <c r="T74" t="s">
        <v>47</v>
      </c>
      <c r="U74" t="s">
        <v>959</v>
      </c>
      <c r="V74" t="s">
        <v>960</v>
      </c>
      <c r="W74" s="1" t="str">
        <f>HYPERLINK("http://dx.doi.org/10.1016/j.cie.2024.110580","http://dx.doi.org/10.1016/j.cie.2024.110580")</f>
        <v>http://dx.doi.org/10.1016/j.cie.2024.110580</v>
      </c>
      <c r="X74" t="s">
        <v>47</v>
      </c>
      <c r="Y74" t="s">
        <v>172</v>
      </c>
      <c r="Z74" t="s">
        <v>52</v>
      </c>
      <c r="AA74" t="s">
        <v>47</v>
      </c>
      <c r="AB74" t="s">
        <v>961</v>
      </c>
      <c r="AC74" s="1" t="str">
        <f>HYPERLINK("https://www.webofscience.com/wos/woscc/full-record/WOS:001320800200001","View Record in Web of Science")</f>
        <v>View Record in Web of Science</v>
      </c>
      <c r="AD74" t="s">
        <v>47</v>
      </c>
      <c r="AE74" t="s">
        <v>47</v>
      </c>
      <c r="AF74" t="s">
        <v>47</v>
      </c>
      <c r="AG74" t="s">
        <v>54</v>
      </c>
    </row>
    <row r="75" spans="1:33">
      <c r="A75" t="s">
        <v>34</v>
      </c>
      <c r="B75" t="s">
        <v>962</v>
      </c>
      <c r="C75" t="s">
        <v>963</v>
      </c>
      <c r="D75" t="s">
        <v>964</v>
      </c>
      <c r="E75" t="s">
        <v>965</v>
      </c>
      <c r="F75" t="s">
        <v>966</v>
      </c>
      <c r="G75" t="s">
        <v>967</v>
      </c>
      <c r="H75" t="s">
        <v>968</v>
      </c>
      <c r="I75" t="s">
        <v>47</v>
      </c>
      <c r="J75" t="s">
        <v>969</v>
      </c>
      <c r="K75" t="s">
        <v>970</v>
      </c>
      <c r="L75" t="s">
        <v>595</v>
      </c>
      <c r="M75" t="s">
        <v>971</v>
      </c>
      <c r="N75" t="s">
        <v>115</v>
      </c>
      <c r="O75" t="s">
        <v>47</v>
      </c>
      <c r="P75" t="s">
        <v>47</v>
      </c>
      <c r="Q75" t="s">
        <v>47</v>
      </c>
      <c r="R75" t="s">
        <v>47</v>
      </c>
      <c r="S75" t="s">
        <v>47</v>
      </c>
      <c r="T75" t="s">
        <v>47</v>
      </c>
      <c r="U75" t="s">
        <v>972</v>
      </c>
      <c r="V75" t="s">
        <v>973</v>
      </c>
      <c r="W75" s="1" t="str">
        <f>HYPERLINK("http://dx.doi.org/10.3390/math8040466","http://dx.doi.org/10.3390/math8040466")</f>
        <v>http://dx.doi.org/10.3390/math8040466</v>
      </c>
      <c r="X75" t="s">
        <v>47</v>
      </c>
      <c r="Y75" t="s">
        <v>47</v>
      </c>
      <c r="Z75" t="s">
        <v>52</v>
      </c>
      <c r="AA75" t="s">
        <v>47</v>
      </c>
      <c r="AB75" t="s">
        <v>974</v>
      </c>
      <c r="AC75" s="1" t="str">
        <f>HYPERLINK("https://www.webofscience.com/wos/woscc/full-record/WOS:000531824100006","View Record in Web of Science")</f>
        <v>View Record in Web of Science</v>
      </c>
      <c r="AD75" t="s">
        <v>47</v>
      </c>
      <c r="AE75" t="s">
        <v>47</v>
      </c>
      <c r="AF75" t="s">
        <v>47</v>
      </c>
      <c r="AG75" t="s">
        <v>54</v>
      </c>
    </row>
    <row r="76" spans="1:33">
      <c r="A76" t="s">
        <v>34</v>
      </c>
      <c r="B76" t="s">
        <v>975</v>
      </c>
      <c r="C76" t="s">
        <v>976</v>
      </c>
      <c r="D76" t="s">
        <v>977</v>
      </c>
      <c r="E76" t="s">
        <v>978</v>
      </c>
      <c r="F76" t="s">
        <v>979</v>
      </c>
      <c r="G76" t="s">
        <v>980</v>
      </c>
      <c r="H76" t="s">
        <v>981</v>
      </c>
      <c r="I76" t="s">
        <v>982</v>
      </c>
      <c r="J76" t="s">
        <v>983</v>
      </c>
      <c r="K76" t="s">
        <v>984</v>
      </c>
      <c r="L76" t="s">
        <v>595</v>
      </c>
      <c r="M76" t="s">
        <v>985</v>
      </c>
      <c r="N76" t="s">
        <v>47</v>
      </c>
      <c r="O76" t="s">
        <v>47</v>
      </c>
      <c r="P76" t="s">
        <v>47</v>
      </c>
      <c r="Q76" t="s">
        <v>47</v>
      </c>
      <c r="R76" t="s">
        <v>47</v>
      </c>
      <c r="S76" t="s">
        <v>47</v>
      </c>
      <c r="T76" t="s">
        <v>47</v>
      </c>
      <c r="U76" t="s">
        <v>986</v>
      </c>
      <c r="V76" t="s">
        <v>987</v>
      </c>
      <c r="W76" s="1" t="str">
        <f>HYPERLINK("http://dx.doi.org/10.1016/j.apenergy.2020.114605","http://dx.doi.org/10.1016/j.apenergy.2020.114605")</f>
        <v>http://dx.doi.org/10.1016/j.apenergy.2020.114605</v>
      </c>
      <c r="X76" t="s">
        <v>47</v>
      </c>
      <c r="Y76" t="s">
        <v>47</v>
      </c>
      <c r="Z76" t="s">
        <v>86</v>
      </c>
      <c r="AA76" t="s">
        <v>47</v>
      </c>
      <c r="AB76" t="s">
        <v>988</v>
      </c>
      <c r="AC76" s="1" t="str">
        <f>HYPERLINK("https://www.webofscience.com/wos/woscc/full-record/WOS:000520402600040","View Record in Web of Science")</f>
        <v>View Record in Web of Science</v>
      </c>
      <c r="AD76" t="s">
        <v>47</v>
      </c>
      <c r="AE76" t="s">
        <v>47</v>
      </c>
      <c r="AF76" t="s">
        <v>47</v>
      </c>
      <c r="AG76" t="s">
        <v>54</v>
      </c>
    </row>
    <row r="77" spans="1:33">
      <c r="A77" t="s">
        <v>34</v>
      </c>
      <c r="B77" t="s">
        <v>989</v>
      </c>
      <c r="C77" t="s">
        <v>990</v>
      </c>
      <c r="D77" t="s">
        <v>991</v>
      </c>
      <c r="E77" t="s">
        <v>992</v>
      </c>
      <c r="F77" t="s">
        <v>993</v>
      </c>
      <c r="G77" t="s">
        <v>994</v>
      </c>
      <c r="H77" t="s">
        <v>995</v>
      </c>
      <c r="I77" t="s">
        <v>47</v>
      </c>
      <c r="J77" t="s">
        <v>996</v>
      </c>
      <c r="K77" t="s">
        <v>819</v>
      </c>
      <c r="L77" t="s">
        <v>97</v>
      </c>
      <c r="M77" t="s">
        <v>99</v>
      </c>
      <c r="N77" t="s">
        <v>273</v>
      </c>
      <c r="O77" t="s">
        <v>47</v>
      </c>
      <c r="P77" t="s">
        <v>47</v>
      </c>
      <c r="Q77" t="s">
        <v>47</v>
      </c>
      <c r="R77" t="s">
        <v>47</v>
      </c>
      <c r="S77" t="s">
        <v>47</v>
      </c>
      <c r="T77" t="s">
        <v>47</v>
      </c>
      <c r="U77" t="s">
        <v>997</v>
      </c>
      <c r="V77" t="s">
        <v>998</v>
      </c>
      <c r="W77" s="1" t="str">
        <f>HYPERLINK("http://dx.doi.org/10.3390/systems11030126","http://dx.doi.org/10.3390/systems11030126")</f>
        <v>http://dx.doi.org/10.3390/systems11030126</v>
      </c>
      <c r="X77" t="s">
        <v>47</v>
      </c>
      <c r="Y77" t="s">
        <v>47</v>
      </c>
      <c r="Z77" t="s">
        <v>149</v>
      </c>
      <c r="AA77" t="s">
        <v>47</v>
      </c>
      <c r="AB77" t="s">
        <v>999</v>
      </c>
      <c r="AC77" s="1" t="str">
        <f>HYPERLINK("https://www.webofscience.com/wos/woscc/full-record/WOS:000958158300001","View Record in Web of Science")</f>
        <v>View Record in Web of Science</v>
      </c>
      <c r="AD77" t="s">
        <v>47</v>
      </c>
      <c r="AE77" t="s">
        <v>47</v>
      </c>
      <c r="AF77" t="s">
        <v>47</v>
      </c>
      <c r="AG77" t="s">
        <v>54</v>
      </c>
    </row>
    <row r="78" spans="1:33">
      <c r="A78" t="s">
        <v>34</v>
      </c>
      <c r="B78" t="s">
        <v>1000</v>
      </c>
      <c r="C78" t="s">
        <v>1001</v>
      </c>
      <c r="D78" t="s">
        <v>1002</v>
      </c>
      <c r="E78" t="s">
        <v>1003</v>
      </c>
      <c r="F78" t="s">
        <v>1004</v>
      </c>
      <c r="G78" t="s">
        <v>1005</v>
      </c>
      <c r="H78" t="s">
        <v>1006</v>
      </c>
      <c r="I78" t="s">
        <v>1007</v>
      </c>
      <c r="J78" t="s">
        <v>1008</v>
      </c>
      <c r="K78" t="s">
        <v>1009</v>
      </c>
      <c r="L78" t="s">
        <v>45</v>
      </c>
      <c r="M78" t="s">
        <v>1010</v>
      </c>
      <c r="N78" t="s">
        <v>47</v>
      </c>
      <c r="O78" t="s">
        <v>47</v>
      </c>
      <c r="P78" t="s">
        <v>1011</v>
      </c>
      <c r="Q78" t="s">
        <v>47</v>
      </c>
      <c r="R78" t="s">
        <v>47</v>
      </c>
      <c r="S78" t="s">
        <v>47</v>
      </c>
      <c r="T78" t="s">
        <v>47</v>
      </c>
      <c r="U78" t="s">
        <v>1012</v>
      </c>
      <c r="V78" t="s">
        <v>1013</v>
      </c>
      <c r="W78" s="1" t="str">
        <f>HYPERLINK("http://dx.doi.org/10.1016/j.eswa.2023.121466","http://dx.doi.org/10.1016/j.eswa.2023.121466")</f>
        <v>http://dx.doi.org/10.1016/j.eswa.2023.121466</v>
      </c>
      <c r="X78" t="s">
        <v>47</v>
      </c>
      <c r="Y78" t="s">
        <v>335</v>
      </c>
      <c r="Z78" t="s">
        <v>52</v>
      </c>
      <c r="AA78" t="s">
        <v>47</v>
      </c>
      <c r="AB78" t="s">
        <v>1014</v>
      </c>
      <c r="AC78" s="1" t="str">
        <f>HYPERLINK("https://www.webofscience.com/wos/woscc/full-record/WOS:001076000300001","View Record in Web of Science")</f>
        <v>View Record in Web of Science</v>
      </c>
      <c r="AD78" t="s">
        <v>47</v>
      </c>
      <c r="AE78" t="s">
        <v>47</v>
      </c>
      <c r="AF78" t="s">
        <v>47</v>
      </c>
      <c r="AG78" t="s">
        <v>54</v>
      </c>
    </row>
    <row r="79" spans="1:33">
      <c r="A79" t="s">
        <v>34</v>
      </c>
      <c r="B79" t="s">
        <v>1015</v>
      </c>
      <c r="C79" t="s">
        <v>1016</v>
      </c>
      <c r="D79" t="s">
        <v>1017</v>
      </c>
      <c r="E79" t="s">
        <v>58</v>
      </c>
      <c r="F79" t="s">
        <v>1018</v>
      </c>
      <c r="G79" t="s">
        <v>1019</v>
      </c>
      <c r="H79" t="s">
        <v>1020</v>
      </c>
      <c r="I79" t="s">
        <v>61</v>
      </c>
      <c r="J79" t="s">
        <v>62</v>
      </c>
      <c r="K79" t="s">
        <v>1021</v>
      </c>
      <c r="L79" t="s">
        <v>845</v>
      </c>
      <c r="M79" t="s">
        <v>1022</v>
      </c>
      <c r="N79" t="s">
        <v>66</v>
      </c>
      <c r="O79" t="s">
        <v>67</v>
      </c>
      <c r="P79" t="s">
        <v>47</v>
      </c>
      <c r="Q79" t="s">
        <v>47</v>
      </c>
      <c r="R79" t="s">
        <v>47</v>
      </c>
      <c r="S79" t="s">
        <v>1023</v>
      </c>
      <c r="T79" t="s">
        <v>1024</v>
      </c>
      <c r="U79" t="s">
        <v>47</v>
      </c>
      <c r="V79" t="s">
        <v>1025</v>
      </c>
      <c r="W79" s="1" t="str">
        <f>HYPERLINK("http://dx.doi.org/10.1007/s10479-019-03365-1","http://dx.doi.org/10.1007/s10479-019-03365-1")</f>
        <v>http://dx.doi.org/10.1007/s10479-019-03365-1</v>
      </c>
      <c r="X79" t="s">
        <v>47</v>
      </c>
      <c r="Y79" t="s">
        <v>47</v>
      </c>
      <c r="Z79" t="s">
        <v>486</v>
      </c>
      <c r="AA79" t="s">
        <v>47</v>
      </c>
      <c r="AB79" t="s">
        <v>1026</v>
      </c>
      <c r="AC79" s="1" t="str">
        <f>HYPERLINK("https://www.webofscience.com/wos/woscc/full-record/WOS:000640575000013","View Record in Web of Science")</f>
        <v>View Record in Web of Science</v>
      </c>
      <c r="AD79" t="s">
        <v>47</v>
      </c>
      <c r="AE79" t="s">
        <v>47</v>
      </c>
      <c r="AF79" t="s">
        <v>47</v>
      </c>
      <c r="AG79" t="s">
        <v>54</v>
      </c>
    </row>
    <row r="80" spans="1:33">
      <c r="A80" t="s">
        <v>34</v>
      </c>
      <c r="B80" t="s">
        <v>1027</v>
      </c>
      <c r="C80" t="s">
        <v>1028</v>
      </c>
      <c r="D80" t="s">
        <v>1029</v>
      </c>
      <c r="E80" t="s">
        <v>506</v>
      </c>
      <c r="F80" t="s">
        <v>1030</v>
      </c>
      <c r="G80" t="s">
        <v>1031</v>
      </c>
      <c r="H80" t="s">
        <v>47</v>
      </c>
      <c r="I80" t="s">
        <v>509</v>
      </c>
      <c r="J80" t="s">
        <v>510</v>
      </c>
      <c r="K80" t="s">
        <v>1032</v>
      </c>
      <c r="L80" t="s">
        <v>188</v>
      </c>
      <c r="M80" t="s">
        <v>1033</v>
      </c>
      <c r="N80" t="s">
        <v>66</v>
      </c>
      <c r="O80" t="s">
        <v>47</v>
      </c>
      <c r="P80" t="s">
        <v>47</v>
      </c>
      <c r="Q80" t="s">
        <v>47</v>
      </c>
      <c r="R80" t="s">
        <v>47</v>
      </c>
      <c r="S80" t="s">
        <v>47</v>
      </c>
      <c r="T80" t="s">
        <v>47</v>
      </c>
      <c r="U80" t="s">
        <v>1034</v>
      </c>
      <c r="V80" t="s">
        <v>1035</v>
      </c>
      <c r="W80" s="1" t="str">
        <f>HYPERLINK("http://dx.doi.org/10.1007/s12351-025-01014-z","http://dx.doi.org/10.1007/s12351-025-01014-z")</f>
        <v>http://dx.doi.org/10.1007/s12351-025-01014-z</v>
      </c>
      <c r="X80" t="s">
        <v>47</v>
      </c>
      <c r="Y80" t="s">
        <v>47</v>
      </c>
      <c r="Z80" t="s">
        <v>52</v>
      </c>
      <c r="AA80" t="s">
        <v>47</v>
      </c>
      <c r="AB80" t="s">
        <v>1036</v>
      </c>
      <c r="AC80" s="1" t="str">
        <f>HYPERLINK("https://www.webofscience.com/wos/woscc/full-record/WOS:001716530100008","View Record in Web of Science")</f>
        <v>View Record in Web of Science</v>
      </c>
      <c r="AD80" t="s">
        <v>47</v>
      </c>
      <c r="AE80" t="s">
        <v>47</v>
      </c>
      <c r="AF80" t="s">
        <v>47</v>
      </c>
      <c r="AG80" t="s">
        <v>54</v>
      </c>
    </row>
    <row r="81" spans="1:33">
      <c r="A81" t="s">
        <v>34</v>
      </c>
      <c r="B81" t="s">
        <v>1037</v>
      </c>
      <c r="C81" t="s">
        <v>1038</v>
      </c>
      <c r="D81" t="s">
        <v>1039</v>
      </c>
      <c r="E81" t="s">
        <v>1040</v>
      </c>
      <c r="F81" t="s">
        <v>1041</v>
      </c>
      <c r="G81" t="s">
        <v>1042</v>
      </c>
      <c r="H81" t="s">
        <v>1043</v>
      </c>
      <c r="I81" t="s">
        <v>1044</v>
      </c>
      <c r="J81" t="s">
        <v>1045</v>
      </c>
      <c r="K81" t="s">
        <v>1046</v>
      </c>
      <c r="L81" t="s">
        <v>845</v>
      </c>
      <c r="M81" t="s">
        <v>1047</v>
      </c>
      <c r="N81" t="s">
        <v>66</v>
      </c>
      <c r="O81" t="s">
        <v>47</v>
      </c>
      <c r="P81" t="s">
        <v>47</v>
      </c>
      <c r="Q81" t="s">
        <v>47</v>
      </c>
      <c r="R81" t="s">
        <v>47</v>
      </c>
      <c r="S81" t="s">
        <v>1048</v>
      </c>
      <c r="T81" t="s">
        <v>1049</v>
      </c>
      <c r="U81" t="s">
        <v>47</v>
      </c>
      <c r="V81" t="s">
        <v>1050</v>
      </c>
      <c r="W81" s="1" t="str">
        <f>HYPERLINK("http://dx.doi.org/10.1016/j.ejor.2021.03.017","http://dx.doi.org/10.1016/j.ejor.2021.03.017")</f>
        <v>http://dx.doi.org/10.1016/j.ejor.2021.03.017</v>
      </c>
      <c r="X81" t="s">
        <v>47</v>
      </c>
      <c r="Y81" t="s">
        <v>1051</v>
      </c>
      <c r="Z81" t="s">
        <v>86</v>
      </c>
      <c r="AA81" t="s">
        <v>47</v>
      </c>
      <c r="AB81" t="s">
        <v>1052</v>
      </c>
      <c r="AC81" s="1" t="str">
        <f>HYPERLINK("https://www.webofscience.com/wos/woscc/full-record/WOS:000668929800008","View Record in Web of Science")</f>
        <v>View Record in Web of Science</v>
      </c>
      <c r="AD81" t="s">
        <v>47</v>
      </c>
      <c r="AE81" t="s">
        <v>47</v>
      </c>
      <c r="AF81" t="s">
        <v>47</v>
      </c>
      <c r="AG81" t="s">
        <v>54</v>
      </c>
    </row>
    <row r="82" spans="1:33">
      <c r="A82" t="s">
        <v>34</v>
      </c>
      <c r="B82" t="s">
        <v>1053</v>
      </c>
      <c r="C82" t="s">
        <v>1054</v>
      </c>
      <c r="D82" t="s">
        <v>1055</v>
      </c>
      <c r="E82" t="s">
        <v>225</v>
      </c>
      <c r="F82" t="s">
        <v>1056</v>
      </c>
      <c r="G82" t="s">
        <v>1057</v>
      </c>
      <c r="H82" t="s">
        <v>1058</v>
      </c>
      <c r="I82" t="s">
        <v>229</v>
      </c>
      <c r="J82" t="s">
        <v>230</v>
      </c>
      <c r="K82" t="s">
        <v>1059</v>
      </c>
      <c r="L82" t="s">
        <v>127</v>
      </c>
      <c r="M82" t="s">
        <v>1060</v>
      </c>
      <c r="N82" t="s">
        <v>47</v>
      </c>
      <c r="O82" t="s">
        <v>47</v>
      </c>
      <c r="P82" t="s">
        <v>47</v>
      </c>
      <c r="Q82" t="s">
        <v>47</v>
      </c>
      <c r="R82" t="s">
        <v>47</v>
      </c>
      <c r="S82" t="s">
        <v>47</v>
      </c>
      <c r="T82" t="s">
        <v>47</v>
      </c>
      <c r="U82" t="s">
        <v>1061</v>
      </c>
      <c r="V82" t="s">
        <v>1062</v>
      </c>
      <c r="W82" s="1" t="str">
        <f>HYPERLINK("http://dx.doi.org/10.1016/j.jclepro.2024.144523","http://dx.doi.org/10.1016/j.jclepro.2024.144523")</f>
        <v>http://dx.doi.org/10.1016/j.jclepro.2024.144523</v>
      </c>
      <c r="X82" t="s">
        <v>47</v>
      </c>
      <c r="Y82" t="s">
        <v>44</v>
      </c>
      <c r="Z82" t="s">
        <v>52</v>
      </c>
      <c r="AA82" t="s">
        <v>47</v>
      </c>
      <c r="AB82" t="s">
        <v>1063</v>
      </c>
      <c r="AC82" s="1" t="str">
        <f>HYPERLINK("https://www.webofscience.com/wos/woscc/full-record/WOS:001401663000001","View Record in Web of Science")</f>
        <v>View Record in Web of Science</v>
      </c>
      <c r="AD82" t="s">
        <v>47</v>
      </c>
      <c r="AE82" t="s">
        <v>47</v>
      </c>
      <c r="AF82" t="s">
        <v>47</v>
      </c>
      <c r="AG82" t="s">
        <v>54</v>
      </c>
    </row>
    <row r="83" spans="1:33">
      <c r="A83" t="s">
        <v>34</v>
      </c>
      <c r="B83" t="s">
        <v>1064</v>
      </c>
      <c r="C83" t="s">
        <v>1065</v>
      </c>
      <c r="D83" t="s">
        <v>1066</v>
      </c>
      <c r="E83" t="s">
        <v>1067</v>
      </c>
      <c r="F83" t="s">
        <v>1068</v>
      </c>
      <c r="G83" t="s">
        <v>47</v>
      </c>
      <c r="H83" t="s">
        <v>1069</v>
      </c>
      <c r="I83" t="s">
        <v>1070</v>
      </c>
      <c r="J83" t="s">
        <v>1071</v>
      </c>
      <c r="K83" t="s">
        <v>627</v>
      </c>
      <c r="L83" t="s">
        <v>97</v>
      </c>
      <c r="M83" t="s">
        <v>457</v>
      </c>
      <c r="N83" t="s">
        <v>1072</v>
      </c>
      <c r="O83" t="s">
        <v>47</v>
      </c>
      <c r="P83" t="s">
        <v>47</v>
      </c>
      <c r="Q83" t="s">
        <v>47</v>
      </c>
      <c r="R83" t="s">
        <v>47</v>
      </c>
      <c r="S83" t="s">
        <v>1073</v>
      </c>
      <c r="T83" t="s">
        <v>1074</v>
      </c>
      <c r="U83" t="s">
        <v>47</v>
      </c>
      <c r="V83" t="s">
        <v>1075</v>
      </c>
      <c r="W83" s="1" t="str">
        <f>HYPERLINK("http://dx.doi.org/10.1007/s11356-023-28417-9","http://dx.doi.org/10.1007/s11356-023-28417-9")</f>
        <v>http://dx.doi.org/10.1007/s11356-023-28417-9</v>
      </c>
      <c r="X83" t="s">
        <v>47</v>
      </c>
      <c r="Y83" t="s">
        <v>1076</v>
      </c>
      <c r="Z83" t="s">
        <v>52</v>
      </c>
      <c r="AA83" t="s">
        <v>1077</v>
      </c>
      <c r="AB83" t="s">
        <v>1078</v>
      </c>
      <c r="AC83" s="1" t="str">
        <f>HYPERLINK("https://www.webofscience.com/wos/woscc/full-record/WOS:001022818100003","View Record in Web of Science")</f>
        <v>View Record in Web of Science</v>
      </c>
      <c r="AD83" t="s">
        <v>47</v>
      </c>
      <c r="AE83" t="s">
        <v>47</v>
      </c>
      <c r="AF83" t="s">
        <v>47</v>
      </c>
      <c r="AG83" t="s">
        <v>54</v>
      </c>
    </row>
    <row r="84" spans="1:33">
      <c r="A84" t="s">
        <v>34</v>
      </c>
      <c r="B84" t="s">
        <v>1079</v>
      </c>
      <c r="C84" t="s">
        <v>1080</v>
      </c>
      <c r="D84" t="s">
        <v>1081</v>
      </c>
      <c r="E84" t="s">
        <v>76</v>
      </c>
      <c r="F84" t="s">
        <v>1082</v>
      </c>
      <c r="G84" t="s">
        <v>1083</v>
      </c>
      <c r="H84" t="s">
        <v>1084</v>
      </c>
      <c r="I84" t="s">
        <v>80</v>
      </c>
      <c r="J84" t="s">
        <v>81</v>
      </c>
      <c r="K84" t="s">
        <v>1085</v>
      </c>
      <c r="L84" t="s">
        <v>481</v>
      </c>
      <c r="M84" t="s">
        <v>1086</v>
      </c>
      <c r="N84" t="s">
        <v>47</v>
      </c>
      <c r="O84" t="s">
        <v>47</v>
      </c>
      <c r="P84" t="s">
        <v>47</v>
      </c>
      <c r="Q84" t="s">
        <v>47</v>
      </c>
      <c r="R84" t="s">
        <v>47</v>
      </c>
      <c r="S84" t="s">
        <v>971</v>
      </c>
      <c r="T84" t="s">
        <v>623</v>
      </c>
      <c r="U84" t="s">
        <v>47</v>
      </c>
      <c r="V84" t="s">
        <v>1087</v>
      </c>
      <c r="W84" s="1" t="str">
        <f>HYPERLINK("http://dx.doi.org/10.1016/j.cie.2018.11.059","http://dx.doi.org/10.1016/j.cie.2018.11.059")</f>
        <v>http://dx.doi.org/10.1016/j.cie.2018.11.059</v>
      </c>
      <c r="X84" t="s">
        <v>47</v>
      </c>
      <c r="Y84" t="s">
        <v>47</v>
      </c>
      <c r="Z84" t="s">
        <v>52</v>
      </c>
      <c r="AA84" t="s">
        <v>47</v>
      </c>
      <c r="AB84" t="s">
        <v>1088</v>
      </c>
      <c r="AC84" s="1" t="str">
        <f>HYPERLINK("https://www.webofscience.com/wos/woscc/full-record/WOS:000458221900002","View Record in Web of Science")</f>
        <v>View Record in Web of Science</v>
      </c>
      <c r="AD84" t="s">
        <v>47</v>
      </c>
      <c r="AE84" t="s">
        <v>47</v>
      </c>
      <c r="AF84" t="s">
        <v>47</v>
      </c>
      <c r="AG84" t="s">
        <v>54</v>
      </c>
    </row>
    <row r="85" spans="1:33">
      <c r="A85" t="s">
        <v>34</v>
      </c>
      <c r="B85" t="s">
        <v>1089</v>
      </c>
      <c r="C85" t="s">
        <v>1090</v>
      </c>
      <c r="D85" t="s">
        <v>1091</v>
      </c>
      <c r="E85" t="s">
        <v>225</v>
      </c>
      <c r="F85" t="s">
        <v>1092</v>
      </c>
      <c r="G85" t="s">
        <v>1093</v>
      </c>
      <c r="H85" t="s">
        <v>1094</v>
      </c>
      <c r="I85" t="s">
        <v>229</v>
      </c>
      <c r="J85" t="s">
        <v>230</v>
      </c>
      <c r="K85" t="s">
        <v>1095</v>
      </c>
      <c r="L85" t="s">
        <v>753</v>
      </c>
      <c r="M85" t="s">
        <v>1096</v>
      </c>
      <c r="N85" t="s">
        <v>47</v>
      </c>
      <c r="O85" t="s">
        <v>47</v>
      </c>
      <c r="P85" t="s">
        <v>47</v>
      </c>
      <c r="Q85" t="s">
        <v>47</v>
      </c>
      <c r="R85" t="s">
        <v>47</v>
      </c>
      <c r="S85" t="s">
        <v>99</v>
      </c>
      <c r="T85" t="s">
        <v>512</v>
      </c>
      <c r="U85" t="s">
        <v>47</v>
      </c>
      <c r="V85" t="s">
        <v>1097</v>
      </c>
      <c r="W85" s="1" t="str">
        <f>HYPERLINK("http://dx.doi.org/10.1016/j.jclepro.2017.05.021","http://dx.doi.org/10.1016/j.jclepro.2017.05.021")</f>
        <v>http://dx.doi.org/10.1016/j.jclepro.2017.05.021</v>
      </c>
      <c r="X85" t="s">
        <v>47</v>
      </c>
      <c r="Y85" t="s">
        <v>47</v>
      </c>
      <c r="Z85" t="s">
        <v>86</v>
      </c>
      <c r="AA85" t="s">
        <v>47</v>
      </c>
      <c r="AB85" t="s">
        <v>1098</v>
      </c>
      <c r="AC85" s="1" t="str">
        <f>HYPERLINK("https://www.webofscience.com/wos/woscc/full-record/WOS:000403854200002","View Record in Web of Science")</f>
        <v>View Record in Web of Science</v>
      </c>
      <c r="AD85" t="s">
        <v>47</v>
      </c>
      <c r="AE85" t="s">
        <v>47</v>
      </c>
      <c r="AF85" t="s">
        <v>47</v>
      </c>
      <c r="AG85" t="s">
        <v>54</v>
      </c>
    </row>
    <row r="86" spans="1:33">
      <c r="A86" t="s">
        <v>34</v>
      </c>
      <c r="B86" t="s">
        <v>1099</v>
      </c>
      <c r="C86" t="s">
        <v>1100</v>
      </c>
      <c r="D86" t="s">
        <v>1101</v>
      </c>
      <c r="E86" t="s">
        <v>1102</v>
      </c>
      <c r="F86" t="s">
        <v>1103</v>
      </c>
      <c r="G86" t="s">
        <v>1104</v>
      </c>
      <c r="H86" t="s">
        <v>47</v>
      </c>
      <c r="I86" t="s">
        <v>47</v>
      </c>
      <c r="J86" t="s">
        <v>1105</v>
      </c>
      <c r="K86" t="s">
        <v>1106</v>
      </c>
      <c r="L86" t="s">
        <v>97</v>
      </c>
      <c r="M86" t="s">
        <v>66</v>
      </c>
      <c r="N86" t="s">
        <v>971</v>
      </c>
      <c r="O86" t="s">
        <v>47</v>
      </c>
      <c r="P86" t="s">
        <v>47</v>
      </c>
      <c r="Q86" t="s">
        <v>47</v>
      </c>
      <c r="R86" t="s">
        <v>47</v>
      </c>
      <c r="S86" t="s">
        <v>1107</v>
      </c>
      <c r="T86" t="s">
        <v>1108</v>
      </c>
      <c r="U86" t="s">
        <v>47</v>
      </c>
      <c r="V86" t="s">
        <v>1109</v>
      </c>
      <c r="W86" s="1" t="str">
        <f>HYPERLINK("http://dx.doi.org/10.1039/d3va00057e","http://dx.doi.org/10.1039/d3va00057e")</f>
        <v>http://dx.doi.org/10.1039/d3va00057e</v>
      </c>
      <c r="X86" t="s">
        <v>47</v>
      </c>
      <c r="Y86" t="s">
        <v>47</v>
      </c>
      <c r="Z86" t="s">
        <v>194</v>
      </c>
      <c r="AA86" t="s">
        <v>47</v>
      </c>
      <c r="AB86" t="s">
        <v>1110</v>
      </c>
      <c r="AC86" s="1" t="str">
        <f>HYPERLINK("https://www.webofscience.com/wos/woscc/full-record/WOS:001107606200001","View Record in Web of Science")</f>
        <v>View Record in Web of Science</v>
      </c>
      <c r="AD86" t="s">
        <v>47</v>
      </c>
      <c r="AE86" t="s">
        <v>47</v>
      </c>
      <c r="AF86" t="s">
        <v>47</v>
      </c>
      <c r="AG86" t="s">
        <v>54</v>
      </c>
    </row>
    <row r="87" spans="1:33">
      <c r="A87" t="s">
        <v>34</v>
      </c>
      <c r="B87" t="s">
        <v>1111</v>
      </c>
      <c r="C87" t="s">
        <v>1112</v>
      </c>
      <c r="D87" t="s">
        <v>1113</v>
      </c>
      <c r="E87" t="s">
        <v>107</v>
      </c>
      <c r="F87" t="s">
        <v>1114</v>
      </c>
      <c r="G87" t="s">
        <v>1115</v>
      </c>
      <c r="H87" t="s">
        <v>1116</v>
      </c>
      <c r="I87" t="s">
        <v>47</v>
      </c>
      <c r="J87" t="s">
        <v>111</v>
      </c>
      <c r="K87" t="s">
        <v>548</v>
      </c>
      <c r="L87" t="s">
        <v>64</v>
      </c>
      <c r="M87" t="s">
        <v>98</v>
      </c>
      <c r="N87" t="s">
        <v>971</v>
      </c>
      <c r="O87" t="s">
        <v>47</v>
      </c>
      <c r="P87" t="s">
        <v>47</v>
      </c>
      <c r="Q87" t="s">
        <v>47</v>
      </c>
      <c r="R87" t="s">
        <v>47</v>
      </c>
      <c r="S87" t="s">
        <v>47</v>
      </c>
      <c r="T87" t="s">
        <v>47</v>
      </c>
      <c r="U87" t="s">
        <v>1117</v>
      </c>
      <c r="V87" t="s">
        <v>1118</v>
      </c>
      <c r="W87" s="1" t="str">
        <f>HYPERLINK("http://dx.doi.org/10.3390/ijerph19084653","http://dx.doi.org/10.3390/ijerph19084653")</f>
        <v>http://dx.doi.org/10.3390/ijerph19084653</v>
      </c>
      <c r="X87" t="s">
        <v>47</v>
      </c>
      <c r="Y87" t="s">
        <v>47</v>
      </c>
      <c r="Z87" t="s">
        <v>86</v>
      </c>
      <c r="AA87" t="s">
        <v>1119</v>
      </c>
      <c r="AB87" t="s">
        <v>1120</v>
      </c>
      <c r="AC87" s="1" t="str">
        <f>HYPERLINK("https://www.webofscience.com/wos/woscc/full-record/WOS:000787972000001","View Record in Web of Science")</f>
        <v>View Record in Web of Science</v>
      </c>
      <c r="AD87" t="s">
        <v>47</v>
      </c>
      <c r="AE87" t="s">
        <v>47</v>
      </c>
      <c r="AF87" t="s">
        <v>47</v>
      </c>
      <c r="AG87" t="s">
        <v>54</v>
      </c>
    </row>
    <row r="88" spans="1:33">
      <c r="A88" t="s">
        <v>34</v>
      </c>
      <c r="B88" t="s">
        <v>1121</v>
      </c>
      <c r="C88" t="s">
        <v>1122</v>
      </c>
      <c r="D88" t="s">
        <v>1123</v>
      </c>
      <c r="E88" t="s">
        <v>154</v>
      </c>
      <c r="F88" t="s">
        <v>1124</v>
      </c>
      <c r="G88" t="s">
        <v>843</v>
      </c>
      <c r="H88" t="s">
        <v>47</v>
      </c>
      <c r="I88" t="s">
        <v>158</v>
      </c>
      <c r="J88" t="s">
        <v>159</v>
      </c>
      <c r="K88" t="s">
        <v>44</v>
      </c>
      <c r="L88" t="s">
        <v>45</v>
      </c>
      <c r="M88" t="s">
        <v>1125</v>
      </c>
      <c r="N88" t="s">
        <v>47</v>
      </c>
      <c r="O88" t="s">
        <v>47</v>
      </c>
      <c r="P88" t="s">
        <v>47</v>
      </c>
      <c r="Q88" t="s">
        <v>47</v>
      </c>
      <c r="R88" t="s">
        <v>47</v>
      </c>
      <c r="S88" t="s">
        <v>47</v>
      </c>
      <c r="T88" t="s">
        <v>47</v>
      </c>
      <c r="U88" t="s">
        <v>1126</v>
      </c>
      <c r="V88" t="s">
        <v>1127</v>
      </c>
      <c r="W88" s="1" t="str">
        <f>HYPERLINK("http://dx.doi.org/10.1016/j.eneco.2024.107955","http://dx.doi.org/10.1016/j.eneco.2024.107955")</f>
        <v>http://dx.doi.org/10.1016/j.eneco.2024.107955</v>
      </c>
      <c r="X88" t="s">
        <v>47</v>
      </c>
      <c r="Y88" t="s">
        <v>1128</v>
      </c>
      <c r="Z88" t="s">
        <v>149</v>
      </c>
      <c r="AA88" t="s">
        <v>47</v>
      </c>
      <c r="AB88" t="s">
        <v>1129</v>
      </c>
      <c r="AC88" s="1" t="str">
        <f>HYPERLINK("https://www.webofscience.com/wos/woscc/full-record/WOS:001342213000001","View Record in Web of Science")</f>
        <v>View Record in Web of Science</v>
      </c>
      <c r="AD88" t="s">
        <v>47</v>
      </c>
      <c r="AE88" t="s">
        <v>47</v>
      </c>
      <c r="AF88" t="s">
        <v>47</v>
      </c>
      <c r="AG88" t="s">
        <v>54</v>
      </c>
    </row>
    <row r="89" spans="1:33">
      <c r="A89" t="s">
        <v>34</v>
      </c>
      <c r="B89" t="s">
        <v>1130</v>
      </c>
      <c r="C89" t="s">
        <v>1131</v>
      </c>
      <c r="D89" t="s">
        <v>1132</v>
      </c>
      <c r="E89" t="s">
        <v>225</v>
      </c>
      <c r="F89" t="s">
        <v>1133</v>
      </c>
      <c r="G89" t="s">
        <v>1134</v>
      </c>
      <c r="H89" t="s">
        <v>1135</v>
      </c>
      <c r="I89" t="s">
        <v>229</v>
      </c>
      <c r="J89" t="s">
        <v>230</v>
      </c>
      <c r="K89" t="s">
        <v>1136</v>
      </c>
      <c r="L89" t="s">
        <v>481</v>
      </c>
      <c r="M89" t="s">
        <v>1137</v>
      </c>
      <c r="N89" t="s">
        <v>47</v>
      </c>
      <c r="O89" t="s">
        <v>47</v>
      </c>
      <c r="P89" t="s">
        <v>47</v>
      </c>
      <c r="Q89" t="s">
        <v>47</v>
      </c>
      <c r="R89" t="s">
        <v>47</v>
      </c>
      <c r="S89" t="s">
        <v>47</v>
      </c>
      <c r="T89" t="s">
        <v>47</v>
      </c>
      <c r="U89" t="s">
        <v>1138</v>
      </c>
      <c r="V89" t="s">
        <v>1139</v>
      </c>
      <c r="W89" s="1" t="str">
        <f>HYPERLINK("http://dx.doi.org/10.1016/j.jclepro.2019.117988","http://dx.doi.org/10.1016/j.jclepro.2019.117988")</f>
        <v>http://dx.doi.org/10.1016/j.jclepro.2019.117988</v>
      </c>
      <c r="X89" t="s">
        <v>47</v>
      </c>
      <c r="Y89" t="s">
        <v>47</v>
      </c>
      <c r="Z89" t="s">
        <v>86</v>
      </c>
      <c r="AA89" t="s">
        <v>47</v>
      </c>
      <c r="AB89" t="s">
        <v>1140</v>
      </c>
      <c r="AC89" s="1" t="str">
        <f>HYPERLINK("https://www.webofscience.com/wos/woscc/full-record/WOS:000487237100109","View Record in Web of Science")</f>
        <v>View Record in Web of Science</v>
      </c>
      <c r="AD89" t="s">
        <v>47</v>
      </c>
      <c r="AE89" t="s">
        <v>47</v>
      </c>
      <c r="AF89" t="s">
        <v>47</v>
      </c>
      <c r="AG89" t="s">
        <v>54</v>
      </c>
    </row>
    <row r="90" spans="1:33">
      <c r="A90" t="s">
        <v>34</v>
      </c>
      <c r="B90" t="s">
        <v>1141</v>
      </c>
      <c r="C90" t="s">
        <v>1142</v>
      </c>
      <c r="D90" t="s">
        <v>1143</v>
      </c>
      <c r="E90" t="s">
        <v>76</v>
      </c>
      <c r="F90" t="s">
        <v>1144</v>
      </c>
      <c r="G90" t="s">
        <v>47</v>
      </c>
      <c r="H90" t="s">
        <v>1145</v>
      </c>
      <c r="I90" t="s">
        <v>80</v>
      </c>
      <c r="J90" t="s">
        <v>81</v>
      </c>
      <c r="K90" t="s">
        <v>1146</v>
      </c>
      <c r="L90" t="s">
        <v>127</v>
      </c>
      <c r="M90" t="s">
        <v>1147</v>
      </c>
      <c r="N90" t="s">
        <v>47</v>
      </c>
      <c r="O90" t="s">
        <v>47</v>
      </c>
      <c r="P90" t="s">
        <v>47</v>
      </c>
      <c r="Q90" t="s">
        <v>47</v>
      </c>
      <c r="R90" t="s">
        <v>47</v>
      </c>
      <c r="S90" t="s">
        <v>47</v>
      </c>
      <c r="T90" t="s">
        <v>47</v>
      </c>
      <c r="U90" t="s">
        <v>1148</v>
      </c>
      <c r="V90" t="s">
        <v>1149</v>
      </c>
      <c r="W90" s="1" t="str">
        <f>HYPERLINK("http://dx.doi.org/10.1016/j.cie.2025.110930","http://dx.doi.org/10.1016/j.cie.2025.110930")</f>
        <v>http://dx.doi.org/10.1016/j.cie.2025.110930</v>
      </c>
      <c r="X90" t="s">
        <v>47</v>
      </c>
      <c r="Y90" t="s">
        <v>271</v>
      </c>
      <c r="Z90" t="s">
        <v>52</v>
      </c>
      <c r="AA90" t="s">
        <v>47</v>
      </c>
      <c r="AB90" t="s">
        <v>1150</v>
      </c>
      <c r="AC90" s="1" t="str">
        <f>HYPERLINK("https://www.webofscience.com/wos/woscc/full-record/WOS:001425393900001","View Record in Web of Science")</f>
        <v>View Record in Web of Science</v>
      </c>
      <c r="AD90" t="s">
        <v>47</v>
      </c>
      <c r="AE90" t="s">
        <v>47</v>
      </c>
      <c r="AF90" t="s">
        <v>47</v>
      </c>
      <c r="AG90" t="s">
        <v>54</v>
      </c>
    </row>
    <row r="91" spans="1:33">
      <c r="A91" t="s">
        <v>34</v>
      </c>
      <c r="B91" t="s">
        <v>1151</v>
      </c>
      <c r="C91" t="s">
        <v>1152</v>
      </c>
      <c r="D91" t="s">
        <v>1153</v>
      </c>
      <c r="E91" t="s">
        <v>225</v>
      </c>
      <c r="F91" t="s">
        <v>1154</v>
      </c>
      <c r="G91" t="s">
        <v>1155</v>
      </c>
      <c r="H91" t="s">
        <v>1156</v>
      </c>
      <c r="I91" t="s">
        <v>229</v>
      </c>
      <c r="J91" t="s">
        <v>230</v>
      </c>
      <c r="K91" t="s">
        <v>1157</v>
      </c>
      <c r="L91" t="s">
        <v>481</v>
      </c>
      <c r="M91" t="s">
        <v>1158</v>
      </c>
      <c r="N91" t="s">
        <v>47</v>
      </c>
      <c r="O91" t="s">
        <v>47</v>
      </c>
      <c r="P91" t="s">
        <v>47</v>
      </c>
      <c r="Q91" t="s">
        <v>47</v>
      </c>
      <c r="R91" t="s">
        <v>47</v>
      </c>
      <c r="S91" t="s">
        <v>1159</v>
      </c>
      <c r="T91" t="s">
        <v>1160</v>
      </c>
      <c r="U91" t="s">
        <v>47</v>
      </c>
      <c r="V91" t="s">
        <v>1161</v>
      </c>
      <c r="W91" s="1" t="str">
        <f>HYPERLINK("http://dx.doi.org/10.1016/j.jclepro.2019.01.067","http://dx.doi.org/10.1016/j.jclepro.2019.01.067")</f>
        <v>http://dx.doi.org/10.1016/j.jclepro.2019.01.067</v>
      </c>
      <c r="X91" t="s">
        <v>47</v>
      </c>
      <c r="Y91" t="s">
        <v>47</v>
      </c>
      <c r="Z91" t="s">
        <v>86</v>
      </c>
      <c r="AA91" t="s">
        <v>47</v>
      </c>
      <c r="AB91" t="s">
        <v>1162</v>
      </c>
      <c r="AC91" s="1" t="str">
        <f>HYPERLINK("https://www.webofscience.com/wos/woscc/full-record/WOS:000459358300111","View Record in Web of Science")</f>
        <v>View Record in Web of Science</v>
      </c>
      <c r="AD91" t="s">
        <v>47</v>
      </c>
      <c r="AE91" t="s">
        <v>47</v>
      </c>
      <c r="AF91" t="s">
        <v>47</v>
      </c>
      <c r="AG91" t="s">
        <v>54</v>
      </c>
    </row>
  </sheetData>
  <hyperlinks>
    <hyperlink ref="AC2" r:id="rId1" display="=HYPERLINK(&quot;https://www.webofscience.com/wos/woscc/full-record/WOS:001355979400001&quot;,&quot;View Record in Web of Science&quot;)"/>
    <hyperlink ref="W3" r:id="rId2" display="=HYPERLINK(&quot;http://dx.doi.org/10.1007/s10479-020-03642-4&quot;,&quot;http://dx.doi.org/10.1007/s10479-020-03642-4&quot;)"/>
    <hyperlink ref="AC3" r:id="rId3" display="=HYPERLINK(&quot;https://www.webofscience.com/wos/woscc/full-record/WOS:000559597700001&quot;,&quot;View Record in Web of Science&quot;)"/>
    <hyperlink ref="W4" r:id="rId4" display="=HYPERLINK(&quot;http://dx.doi.org/10.1016/j.cie.2021.107769&quot;,&quot;http://dx.doi.org/10.1016/j.cie.2021.107769&quot;)"/>
    <hyperlink ref="AC4" r:id="rId5" display="=HYPERLINK(&quot;https://www.webofscience.com/wos/woscc/full-record/WOS:000775907400002&quot;,&quot;View Record in Web of Science&quot;)"/>
    <hyperlink ref="W5" r:id="rId6" display="=HYPERLINK(&quot;http://dx.doi.org/10.3934/jimo.2023043&quot;,&quot;http://dx.doi.org/10.3934/jimo.2023043&quot;)"/>
    <hyperlink ref="AC5" r:id="rId7" display="=HYPERLINK(&quot;https://www.webofscience.com/wos/woscc/full-record/WOS:000988785400023&quot;,&quot;View Record in Web of Science&quot;)"/>
    <hyperlink ref="W6" r:id="rId8" display="=HYPERLINK(&quot;http://dx.doi.org/10.3390/ijerph15040678&quot;,&quot;http://dx.doi.org/10.3390/ijerph15040678&quot;)"/>
    <hyperlink ref="AC6" r:id="rId9" display="=HYPERLINK(&quot;https://www.webofscience.com/wos/woscc/full-record/WOS:000434868800117&quot;,&quot;View Record in Web of Science&quot;)"/>
    <hyperlink ref="W7" r:id="rId10" display="=HYPERLINK(&quot;http://dx.doi.org/10.1016/j.cie.2025.111275&quot;,&quot;http://dx.doi.org/10.1016/j.cie.2025.111275&quot;)"/>
    <hyperlink ref="AC7" r:id="rId11" display="=HYPERLINK(&quot;https://www.webofscience.com/wos/woscc/full-record/WOS:001529758400002&quot;,&quot;View Record in Web of Science&quot;)"/>
    <hyperlink ref="W8" r:id="rId12" display="=HYPERLINK(&quot;http://dx.doi.org/10.1016/j.jeem.2011.05.002&quot;,&quot;http://dx.doi.org/10.1016/j.jeem.2011.05.002&quot;)"/>
    <hyperlink ref="AC8" r:id="rId13" display="=HYPERLINK(&quot;https://www.webofscience.com/wos/woscc/full-record/WOS:000298622000004&quot;,&quot;View Record in Web of Science&quot;)"/>
    <hyperlink ref="W9" r:id="rId14" display="=HYPERLINK(&quot;http://dx.doi.org/10.1016/j.eneco.2009.06.016&quot;,&quot;http://dx.doi.org/10.1016/j.eneco.2009.06.016&quot;)"/>
    <hyperlink ref="AC9" r:id="rId15" display="=HYPERLINK(&quot;https://www.webofscience.com/wos/woscc/full-record/WOS:000273377900017&quot;,&quot;View Record in Web of Science&quot;)"/>
    <hyperlink ref="W10" r:id="rId16" display="=HYPERLINK(&quot;http://dx.doi.org/10.1016/j.cie.2024.110423&quot;,&quot;http://dx.doi.org/10.1016/j.cie.2024.110423&quot;)"/>
    <hyperlink ref="AC10" r:id="rId17" display="=HYPERLINK(&quot;https://www.webofscience.com/wos/woscc/full-record/WOS:001289611100001&quot;,&quot;View Record in Web of Science&quot;)"/>
    <hyperlink ref="W11" r:id="rId18" display="=HYPERLINK(&quot;http://dx.doi.org/10.1007/s41660-025-00558-z&quot;,&quot;http://dx.doi.org/10.1007/s41660-025-00558-z&quot;)"/>
    <hyperlink ref="AC11" r:id="rId19" display="=HYPERLINK(&quot;https://www.webofscience.com/wos/woscc/full-record/WOS:001545993000001&quot;,&quot;View Record in Web of Science&quot;)"/>
    <hyperlink ref="W12" r:id="rId20" display="=HYPERLINK(&quot;http://dx.doi.org/10.1038/s41598-025-30391-w&quot;,&quot;http://dx.doi.org/10.1038/s41598-025-30391-w&quot;)"/>
    <hyperlink ref="AC12" r:id="rId21" display="=HYPERLINK(&quot;https://www.webofscience.com/wos/woscc/full-record/WOS:001656484100001&quot;,&quot;View Record in Web of Science&quot;)"/>
    <hyperlink ref="W13" r:id="rId22" display="=HYPERLINK(&quot;http://dx.doi.org/10.1017/S1365100525100424&quot;,&quot;http://dx.doi.org/10.1017/S1365100525100424&quot;)"/>
    <hyperlink ref="AC13" r:id="rId23" display="=HYPERLINK(&quot;https://www.webofscience.com/wos/woscc/full-record/WOS:001551850400001&quot;,&quot;View Record in Web of Science&quot;)"/>
    <hyperlink ref="W14" r:id="rId24" display="=HYPERLINK(&quot;http://dx.doi.org/10.1016/j.jclepro.2024.140584&quot;,&quot;http://dx.doi.org/10.1016/j.jclepro.2024.140584&quot;)"/>
    <hyperlink ref="AC14" r:id="rId25" display="=HYPERLINK(&quot;https://www.webofscience.com/wos/woscc/full-record/WOS:001154742300001&quot;,&quot;View Record in Web of Science&quot;)"/>
    <hyperlink ref="W15" r:id="rId26" display="=HYPERLINK(&quot;http://dx.doi.org/10.1016/j.jclepro.2025.145824&quot;,&quot;http://dx.doi.org/10.1016/j.jclepro.2025.145824&quot;)"/>
    <hyperlink ref="AC15" r:id="rId27" display="=HYPERLINK(&quot;https://www.webofscience.com/wos/woscc/full-record/WOS:001513384700004&quot;,&quot;View Record in Web of Science&quot;)"/>
    <hyperlink ref="W16" r:id="rId28" display="=HYPERLINK(&quot;http://dx.doi.org/10.1108/BIJ-05-2021-0254&quot;,&quot;http://dx.doi.org/10.1108/BIJ-05-2021-0254&quot;)"/>
    <hyperlink ref="AC16" r:id="rId29" display="=HYPERLINK(&quot;https://www.webofscience.com/wos/woscc/full-record/WOS:000711077700001&quot;,&quot;View Record in Web of Science&quot;)"/>
    <hyperlink ref="W17" r:id="rId30" display="=HYPERLINK(&quot;http://dx.doi.org/10.3390/su17031042&quot;,&quot;http://dx.doi.org/10.3390/su17031042&quot;)"/>
    <hyperlink ref="AC17" r:id="rId31" display="=HYPERLINK(&quot;https://www.webofscience.com/wos/woscc/full-record/WOS:001419383700001&quot;,&quot;View Record in Web of Science&quot;)"/>
    <hyperlink ref="W18" r:id="rId32" display="=HYPERLINK(&quot;http://dx.doi.org/10.1371/journal.pone.0318952&quot;,&quot;http://dx.doi.org/10.1371/journal.pone.0318952&quot;)"/>
    <hyperlink ref="AC18" r:id="rId33" display="=HYPERLINK(&quot;https://www.webofscience.com/wos/woscc/full-record/WOS:001456751700016&quot;,&quot;View Record in Web of Science&quot;)"/>
    <hyperlink ref="W19" r:id="rId34" display="=HYPERLINK(&quot;http://dx.doi.org/10.1016/j.tre.2025.104384&quot;,&quot;http://dx.doi.org/10.1016/j.tre.2025.104384&quot;)"/>
    <hyperlink ref="AC19" r:id="rId35" display="=HYPERLINK(&quot;https://www.webofscience.com/wos/woscc/full-record/WOS:001560936800001&quot;,&quot;View Record in Web of Science&quot;)"/>
    <hyperlink ref="W20" r:id="rId36" display="=HYPERLINK(&quot;http://dx.doi.org/10.1016/j.sca.2025.100109&quot;,&quot;http://dx.doi.org/10.1016/j.sca.2025.100109&quot;)"/>
    <hyperlink ref="AC20" r:id="rId37" display="=HYPERLINK(&quot;https://www.webofscience.com/wos/woscc/full-record/WOS:001435448200001&quot;,&quot;View Record in Web of Science&quot;)"/>
    <hyperlink ref="W21" r:id="rId38" display="=HYPERLINK(&quot;http://dx.doi.org/10.1007/s10479-024-06013-5&quot;,&quot;http://dx.doi.org/10.1007/s10479-024-06013-5&quot;)"/>
    <hyperlink ref="AC21" r:id="rId39" display="=HYPERLINK(&quot;https://www.webofscience.com/wos/woscc/full-record/WOS:001226679900002&quot;,&quot;View Record in Web of Science&quot;)"/>
    <hyperlink ref="W22" r:id="rId40" display="=HYPERLINK(&quot;http://dx.doi.org/10.3934/jimo.2023123&quot;,&quot;http://dx.doi.org/10.3934/jimo.2023123&quot;)"/>
    <hyperlink ref="AC22" r:id="rId41" display="=HYPERLINK(&quot;https://www.webofscience.com/wos/woscc/full-record/WOS:001074169100001&quot;,&quot;View Record in Web of Science&quot;)"/>
    <hyperlink ref="W23" r:id="rId42" display="=HYPERLINK(&quot;http://dx.doi.org/10.3390/su17198951&quot;,&quot;http://dx.doi.org/10.3390/su17198951&quot;)"/>
    <hyperlink ref="AC23" r:id="rId43" display="=HYPERLINK(&quot;https://www.webofscience.com/wos/woscc/full-record/WOS:001593868800001&quot;,&quot;View Record in Web of Science&quot;)"/>
    <hyperlink ref="W24" r:id="rId44" display="=HYPERLINK(&quot;http://dx.doi.org/10.3934/jimo.2021181&quot;,&quot;http://dx.doi.org/10.3934/jimo.2021181&quot;)"/>
    <hyperlink ref="AC24" r:id="rId45" display="=HYPERLINK(&quot;https://www.webofscience.com/wos/woscc/full-record/WOS:000710117000001&quot;,&quot;View Record in Web of Science&quot;)"/>
    <hyperlink ref="AC25" r:id="rId46" display="=HYPERLINK(&quot;https://www.webofscience.com/wos/woscc/full-record/WOS:000285831900002&quot;,&quot;View Record in Web of Science&quot;)"/>
    <hyperlink ref="W26" r:id="rId47" display="=HYPERLINK(&quot;http://dx.doi.org/10.1016/j.jclepro.2026.147775&quot;,&quot;http://dx.doi.org/10.1016/j.jclepro.2026.147775&quot;)"/>
    <hyperlink ref="AC26" r:id="rId48" display="=HYPERLINK(&quot;https://www.webofscience.com/wos/woscc/full-record/WOS:001705895400001&quot;,&quot;View Record in Web of Science&quot;)"/>
    <hyperlink ref="W27" r:id="rId49" display="=HYPERLINK(&quot;http://dx.doi.org/10.1007/s41660-026-00697-x&quot;,&quot;http://dx.doi.org/10.1007/s41660-026-00697-x&quot;)"/>
    <hyperlink ref="AC27" r:id="rId50" display="=HYPERLINK(&quot;https://www.webofscience.com/wos/woscc/full-record/WOS:001703462300001&quot;,&quot;View Record in Web of Science&quot;)"/>
    <hyperlink ref="W28" r:id="rId51" display="=HYPERLINK(&quot;http://dx.doi.org/10.1371/journal.pone.0287684&quot;,&quot;http://dx.doi.org/10.1371/journal.pone.0287684&quot;)"/>
    <hyperlink ref="AC28" r:id="rId52" display="=HYPERLINK(&quot;https://www.webofscience.com/wos/woscc/full-record/WOS:001025429200069&quot;,&quot;View Record in Web of Science&quot;)"/>
    <hyperlink ref="W29" r:id="rId53" display="=HYPERLINK(&quot;http://dx.doi.org/10.1016/j.jclepro.2022.134060&quot;,&quot;http://dx.doi.org/10.1016/j.jclepro.2022.134060&quot;)"/>
    <hyperlink ref="AC29" r:id="rId54" display="=HYPERLINK(&quot;https://www.webofscience.com/wos/woscc/full-record/WOS:000862763200004&quot;,&quot;View Record in Web of Science&quot;)"/>
    <hyperlink ref="W30" r:id="rId55" display="=HYPERLINK(&quot;http://dx.doi.org/10.1007/s10668-023-03918-2&quot;,&quot;http://dx.doi.org/10.1007/s10668-023-03918-2&quot;)"/>
    <hyperlink ref="AC30" r:id="rId56" display="=HYPERLINK(&quot;https://www.webofscience.com/wos/woscc/full-record/WOS:001090276500002&quot;,&quot;View Record in Web of Science&quot;)"/>
    <hyperlink ref="W31" r:id="rId57" display="=HYPERLINK(&quot;http://dx.doi.org/10.1016/j.cie.2025.111528&quot;,&quot;http://dx.doi.org/10.1016/j.cie.2025.111528&quot;)"/>
    <hyperlink ref="AC31" r:id="rId58" display="=HYPERLINK(&quot;https://www.webofscience.com/wos/woscc/full-record/WOS:001597153800001&quot;,&quot;View Record in Web of Science&quot;)"/>
    <hyperlink ref="W32" r:id="rId59" display="=HYPERLINK(&quot;http://dx.doi.org/10.3808/jei.202600553&quot;,&quot;http://dx.doi.org/10.3808/jei.202600553&quot;)"/>
    <hyperlink ref="AC32" r:id="rId60" display="=HYPERLINK(&quot;https://www.webofscience.com/wos/woscc/full-record/WOS:001720145600001&quot;,&quot;View Record in Web of Science&quot;)"/>
    <hyperlink ref="W33" r:id="rId61" display="=HYPERLINK(&quot;http://dx.doi.org/10.1111/j.1465-7287.2011.00296.x&quot;,&quot;http://dx.doi.org/10.1111/j.1465-7287.2011.00296.x&quot;)"/>
    <hyperlink ref="AC33" r:id="rId62" display="=HYPERLINK(&quot;https://www.webofscience.com/wos/woscc/full-record/WOS:000309601900009&quot;,&quot;View Record in Web of Science&quot;)"/>
    <hyperlink ref="W34" r:id="rId63" display="=HYPERLINK(&quot;http://dx.doi.org/10.1016/j.jclepro.2023.139309&quot;,&quot;http://dx.doi.org/10.1016/j.jclepro.2023.139309&quot;)"/>
    <hyperlink ref="AC34" r:id="rId64" display="=HYPERLINK(&quot;https://www.webofscience.com/wos/woscc/full-record/WOS:001111607000001&quot;,&quot;View Record in Web of Science&quot;)"/>
    <hyperlink ref="W35" r:id="rId65" display="=HYPERLINK(&quot;http://dx.doi.org/10.1016/j.cemconcomp.2018.08.003&quot;,&quot;http://dx.doi.org/10.1016/j.cemconcomp.2018.08.003&quot;)"/>
    <hyperlink ref="AC35" r:id="rId66" display="=HYPERLINK(&quot;https://www.webofscience.com/wos/woscc/full-record/WOS:000468709000009&quot;,&quot;View Record in Web of Science&quot;)"/>
    <hyperlink ref="W36" r:id="rId67" display="=HYPERLINK(&quot;http://dx.doi.org/10.1016/j.resconrec.2022.106607&quot;,&quot;http://dx.doi.org/10.1016/j.resconrec.2022.106607&quot;)"/>
    <hyperlink ref="AC36" r:id="rId68" display="=HYPERLINK(&quot;https://www.webofscience.com/wos/woscc/full-record/WOS:000865354900003&quot;,&quot;View Record in Web of Science&quot;)"/>
    <hyperlink ref="W37" r:id="rId69" display="=HYPERLINK(&quot;http://dx.doi.org/10.1007/s12351-024-00866-1&quot;,&quot;http://dx.doi.org/10.1007/s12351-024-00866-1&quot;)"/>
    <hyperlink ref="AC37" r:id="rId70" display="=HYPERLINK(&quot;https://www.webofscience.com/wos/woscc/full-record/WOS:001370185300001&quot;,&quot;View Record in Web of Science&quot;)"/>
    <hyperlink ref="W38" r:id="rId71" display="=HYPERLINK(&quot;http://dx.doi.org/10.1016/j.ijpe.2024.109477&quot;,&quot;http://dx.doi.org/10.1016/j.ijpe.2024.109477&quot;)"/>
    <hyperlink ref="AC38" r:id="rId72" display="=HYPERLINK(&quot;https://www.webofscience.com/wos/woscc/full-record/WOS:001392945800001&quot;,&quot;View Record in Web of Science&quot;)"/>
    <hyperlink ref="W39" r:id="rId73" display="=HYPERLINK(&quot;http://dx.doi.org/10.3389/fenvs.2022.1088162&quot;,&quot;http://dx.doi.org/10.3389/fenvs.2022.1088162&quot;)"/>
    <hyperlink ref="AC39" r:id="rId74" display="=HYPERLINK(&quot;https://www.webofscience.com/wos/woscc/full-record/WOS:000920246700001&quot;,&quot;View Record in Web of Science&quot;)"/>
    <hyperlink ref="W40" r:id="rId75" display="=HYPERLINK(&quot;http://dx.doi.org/10.1016/j.cie.2022.108159&quot;,&quot;http://dx.doi.org/10.1016/j.cie.2022.108159&quot;)"/>
    <hyperlink ref="AC40" r:id="rId76" display="=HYPERLINK(&quot;https://www.webofscience.com/wos/woscc/full-record/WOS:000797946900010&quot;,&quot;View Record in Web of Science&quot;)"/>
    <hyperlink ref="W41" r:id="rId77" display="=HYPERLINK(&quot;http://dx.doi.org/10.1080/00207543.2024.2425777&quot;,&quot;http://dx.doi.org/10.1080/00207543.2024.2425777&quot;)"/>
    <hyperlink ref="AC41" r:id="rId78" display="=HYPERLINK(&quot;https://www.webofscience.com/wos/woscc/full-record/WOS:001353825200001&quot;,&quot;View Record in Web of Science&quot;)"/>
    <hyperlink ref="W42" r:id="rId79" display="=HYPERLINK(&quot;http://dx.doi.org/10.1016/j.cor.2024.106803&quot;,&quot;http://dx.doi.org/10.1016/j.cor.2024.106803&quot;)"/>
    <hyperlink ref="AC42" r:id="rId80" display="=HYPERLINK(&quot;https://www.webofscience.com/wos/woscc/full-record/WOS:001299656300001&quot;,&quot;View Record in Web of Science&quot;)"/>
    <hyperlink ref="W43" r:id="rId81" display="=HYPERLINK(&quot;http://dx.doi.org/10.3934/GF.2024006&quot;,&quot;http://dx.doi.org/10.3934/GF.2024006&quot;)"/>
    <hyperlink ref="AC43" r:id="rId82" display="=HYPERLINK(&quot;https://www.webofscience.com/wos/woscc/full-record/WOS:001192370900001&quot;,&quot;View Record in Web of Science&quot;)"/>
    <hyperlink ref="W44" r:id="rId83" display="=HYPERLINK(&quot;http://dx.doi.org/10.1016/j.cie.2020.106892&quot;,&quot;http://dx.doi.org/10.1016/j.cie.2020.106892&quot;)"/>
    <hyperlink ref="AC44" r:id="rId84" display="=HYPERLINK(&quot;https://www.webofscience.com/wos/woscc/full-record/WOS:000604134500028&quot;,&quot;View Record in Web of Science&quot;)"/>
    <hyperlink ref="W45" r:id="rId85" display="=HYPERLINK(&quot;http://dx.doi.org/10.1016/j.spc.2021.11.006&quot;,&quot;http://dx.doi.org/10.1016/j.spc.2021.11.006&quot;)"/>
    <hyperlink ref="AC45" r:id="rId86" display="=HYPERLINK(&quot;https://www.webofscience.com/wos/woscc/full-record/WOS:000744244100008&quot;,&quot;View Record in Web of Science&quot;)"/>
    <hyperlink ref="W46" r:id="rId87" display="=HYPERLINK(&quot;http://dx.doi.org/10.1007/s00500-023-09060-5&quot;,&quot;http://dx.doi.org/10.1007/s00500-023-09060-5&quot;)"/>
    <hyperlink ref="AC46" r:id="rId88" display="=HYPERLINK(&quot;https://www.webofscience.com/wos/woscc/full-record/WOS:001052020600001&quot;,&quot;View Record in Web of Science&quot;)"/>
    <hyperlink ref="W47" r:id="rId89" display="=HYPERLINK(&quot;http://dx.doi.org/10.1007/s11518-025-5644-1&quot;,&quot;http://dx.doi.org/10.1007/s11518-025-5644-1&quot;)"/>
    <hyperlink ref="AC47" r:id="rId90" display="=HYPERLINK(&quot;https://www.webofscience.com/wos/woscc/full-record/WOS:001476186200001&quot;,&quot;View Record in Web of Science&quot;)"/>
    <hyperlink ref="W48" r:id="rId91" display="=HYPERLINK(&quot;http://dx.doi.org/10.3138/CPP.39.Supplement2.S53&quot;,&quot;http://dx.doi.org/10.3138/CPP.39.Supplement2.S53&quot;)"/>
    <hyperlink ref="AC48" r:id="rId92" display="=HYPERLINK(&quot;https://www.webofscience.com/wos/woscc/full-record/WOS:000325516300006&quot;,&quot;View Record in Web of Science&quot;)"/>
    <hyperlink ref="W49" r:id="rId93" display="=HYPERLINK(&quot;http://dx.doi.org/10.1016/jidepro.2020.122662&quot;,&quot;http://dx.doi.org/10.1016/jidepro.2020.122662&quot;)"/>
    <hyperlink ref="AC49" r:id="rId94" display="=HYPERLINK(&quot;https://www.webofscience.com/wos/woscc/full-record/WOS:000571823200008&quot;,&quot;View Record in Web of Science&quot;)"/>
    <hyperlink ref="W50" r:id="rId95" display="=HYPERLINK(&quot;http://dx.doi.org/10.1007/s40808-025-02652-0&quot;,&quot;http://dx.doi.org/10.1007/s40808-025-02652-0&quot;)"/>
    <hyperlink ref="AC50" r:id="rId96" display="=HYPERLINK(&quot;https://www.webofscience.com/wos/woscc/full-record/WOS:001595860100009&quot;,&quot;View Record in Web of Science&quot;)"/>
    <hyperlink ref="AC51" r:id="rId97" display="=HYPERLINK(&quot;https://www.webofscience.com/wos/woscc/full-record/WOS:000598895400006&quot;,&quot;View Record in Web of Science&quot;)"/>
    <hyperlink ref="W52" r:id="rId98" display="=HYPERLINK(&quot;http://dx.doi.org/10.1108/APJML-12-2024-1956&quot;,&quot;http://dx.doi.org/10.1108/APJML-12-2024-1956&quot;)"/>
    <hyperlink ref="AC52" r:id="rId99" display="=HYPERLINK(&quot;https://www.webofscience.com/wos/woscc/full-record/WOS:001512946100001&quot;,&quot;View Record in Web of Science&quot;)"/>
    <hyperlink ref="W53" r:id="rId100" display="=HYPERLINK(&quot;http://dx.doi.org/10.1017/S1355770X10000495&quot;,&quot;http://dx.doi.org/10.1017/S1355770X10000495&quot;)"/>
    <hyperlink ref="AC53" r:id="rId101" display="=HYPERLINK(&quot;https://www.webofscience.com/wos/woscc/full-record/WOS:000289876900002&quot;,&quot;View Record in Web of Science&quot;)"/>
    <hyperlink ref="W54" r:id="rId102" display="=HYPERLINK(&quot;http://dx.doi.org/10.1016/j.wasman.2014.02.022&quot;,&quot;http://dx.doi.org/10.1016/j.wasman.2014.02.022&quot;)"/>
    <hyperlink ref="AC54" r:id="rId103" display="=HYPERLINK(&quot;https://www.webofscience.com/wos/woscc/full-record/WOS:000335290100010&quot;,&quot;View Record in Web of Science&quot;)"/>
    <hyperlink ref="AC55" r:id="rId104" display="=HYPERLINK(&quot;https://www.webofscience.com/wos/woscc/full-record/WOS:000288402500097&quot;,&quot;View Record in Web of Science&quot;)"/>
    <hyperlink ref="W56" r:id="rId105" display="=HYPERLINK(&quot;http://dx.doi.org/10.1016/j.jclepro.2016.09.228&quot;,&quot;http://dx.doi.org/10.1016/j.jclepro.2016.09.228&quot;)"/>
    <hyperlink ref="AC56" r:id="rId106" display="=HYPERLINK(&quot;https://www.webofscience.com/wos/woscc/full-record/WOS:000389090300135&quot;,&quot;View Record in Web of Science&quot;)"/>
    <hyperlink ref="W57" r:id="rId107" display="=HYPERLINK(&quot;http://dx.doi.org/10.1080/14693062.2016.1169499&quot;,&quot;http://dx.doi.org/10.1080/14693062.2016.1169499&quot;)"/>
    <hyperlink ref="AC57" r:id="rId108" display="=HYPERLINK(&quot;https://www.webofscience.com/wos/woscc/full-record/WOS:000411385700006&quot;,&quot;View Record in Web of Science&quot;)"/>
    <hyperlink ref="W58" r:id="rId109" display="=HYPERLINK(&quot;http://dx.doi.org/10.1080/03081079.2025.2534838&quot;,&quot;http://dx.doi.org/10.1080/03081079.2025.2534838&quot;)"/>
    <hyperlink ref="AC58" r:id="rId110" display="=HYPERLINK(&quot;https://www.webofscience.com/wos/woscc/full-record/WOS:001572949300001&quot;,&quot;View Record in Web of Science&quot;)"/>
    <hyperlink ref="W59" r:id="rId111" display="=HYPERLINK(&quot;http://dx.doi.org/10.1007/s10640-025-01036-3&quot;,&quot;http://dx.doi.org/10.1007/s10640-025-01036-3&quot;)"/>
    <hyperlink ref="AC59" r:id="rId112" display="=HYPERLINK(&quot;https://www.webofscience.com/wos/woscc/full-record/WOS:001578688900001&quot;,&quot;View Record in Web of Science&quot;)"/>
    <hyperlink ref="W60" r:id="rId113" display="=HYPERLINK(&quot;http://dx.doi.org/10.3390/logistics6030055&quot;,&quot;http://dx.doi.org/10.3390/logistics6030055&quot;)"/>
    <hyperlink ref="AC60" r:id="rId114" display="=HYPERLINK(&quot;https://www.webofscience.com/wos/woscc/full-record/WOS:000860106100001&quot;,&quot;View Record in Web of Science&quot;)"/>
    <hyperlink ref="W61" r:id="rId115" display="=HYPERLINK(&quot;http://dx.doi.org/10.1080/00207543.2023.2175173&quot;,&quot;http://dx.doi.org/10.1080/00207543.2023.2175173&quot;)"/>
    <hyperlink ref="AC61" r:id="rId116" display="=HYPERLINK(&quot;https://www.webofscience.com/wos/woscc/full-record/WOS:000943729700001&quot;,&quot;View Record in Web of Science&quot;)"/>
    <hyperlink ref="W62" r:id="rId117" display="=HYPERLINK(&quot;http://dx.doi.org/10.1007/s10479-025-06788-1&quot;,&quot;http://dx.doi.org/10.1007/s10479-025-06788-1&quot;)"/>
    <hyperlink ref="AC62" r:id="rId118" display="=HYPERLINK(&quot;https://www.webofscience.com/wos/woscc/full-record/WOS:001550027500001&quot;,&quot;View Record in Web of Science&quot;)"/>
    <hyperlink ref="W63" r:id="rId119" display="=HYPERLINK(&quot;http://dx.doi.org/10.1007/s12597-025-01008-7&quot;,&quot;http://dx.doi.org/10.1007/s12597-025-01008-7&quot;)"/>
    <hyperlink ref="AC63" r:id="rId120" display="=HYPERLINK(&quot;https://www.webofscience.com/wos/woscc/full-record/WOS:001574304600001&quot;,&quot;View Record in Web of Science&quot;)"/>
    <hyperlink ref="W64" r:id="rId121" display="=HYPERLINK(&quot;http://dx.doi.org/10.3390/ijerph182010804&quot;,&quot;http://dx.doi.org/10.3390/ijerph182010804&quot;)"/>
    <hyperlink ref="AC64" r:id="rId122" display="=HYPERLINK(&quot;https://www.webofscience.com/wos/woscc/full-record/WOS:000714865400001&quot;,&quot;View Record in Web of Science&quot;)"/>
    <hyperlink ref="W65" r:id="rId123" display="=HYPERLINK(&quot;http://dx.doi.org/10.3934/jimo.2020078&quot;,&quot;http://dx.doi.org/10.3934/jimo.2020078&quot;)"/>
    <hyperlink ref="AC65" r:id="rId124" display="=HYPERLINK(&quot;https://www.webofscience.com/wos/woscc/full-record/WOS:000740705700011&quot;,&quot;View Record in Web of Science&quot;)"/>
    <hyperlink ref="W66" r:id="rId125" display="=HYPERLINK(&quot;http://dx.doi.org/10.1155/2020/2313698&quot;,&quot;http://dx.doi.org/10.1155/2020/2313698&quot;)"/>
    <hyperlink ref="AC66" r:id="rId126" display="=HYPERLINK(&quot;https://www.webofscience.com/wos/woscc/full-record/WOS:000540590200003&quot;,&quot;View Record in Web of Science&quot;)"/>
    <hyperlink ref="W67" r:id="rId127" display="=HYPERLINK(&quot;http://dx.doi.org/10.1007/s10100-025-00995-8&quot;,&quot;http://dx.doi.org/10.1007/s10100-025-00995-8&quot;)"/>
    <hyperlink ref="AC67" r:id="rId128" display="=HYPERLINK(&quot;https://www.webofscience.com/wos/woscc/full-record/WOS:001587572200001&quot;,&quot;View Record in Web of Science&quot;)"/>
    <hyperlink ref="W68" r:id="rId129" display="=HYPERLINK(&quot;http://dx.doi.org/10.1016/j.fufo.2025.100771&quot;,&quot;http://dx.doi.org/10.1016/j.fufo.2025.100771&quot;)"/>
    <hyperlink ref="AC68" r:id="rId130" display="=HYPERLINK(&quot;https://www.webofscience.com/wos/woscc/full-record/WOS:001588914100001&quot;,&quot;View Record in Web of Science&quot;)"/>
    <hyperlink ref="W69" r:id="rId131" display="=HYPERLINK(&quot;http://dx.doi.org/10.1016/j.tre.2025.104521&quot;,&quot;http://dx.doi.org/10.1016/j.tre.2025.104521&quot;)"/>
    <hyperlink ref="AC69" r:id="rId132" display="=HYPERLINK(&quot;https://www.webofscience.com/wos/woscc/full-record/WOS:001626185100009&quot;,&quot;View Record in Web of Science&quot;)"/>
    <hyperlink ref="W70" r:id="rId133" display="=HYPERLINK(&quot;http://dx.doi.org/10.1155/2022/8378639&quot;,&quot;http://dx.doi.org/10.1155/2022/8378639&quot;)"/>
    <hyperlink ref="AC70" r:id="rId134" display="=HYPERLINK(&quot;https://www.webofscience.com/wos/woscc/full-record/WOS:000773073400001&quot;,&quot;View Record in Web of Science&quot;)"/>
    <hyperlink ref="W71" r:id="rId135" display="=HYPERLINK(&quot;http://dx.doi.org/10.1007/s10640-022-00711-z&quot;,&quot;http://dx.doi.org/10.1007/s10640-022-00711-z&quot;)"/>
    <hyperlink ref="AC71" r:id="rId136" display="=HYPERLINK(&quot;https://www.webofscience.com/wos/woscc/full-record/WOS:000835622400001&quot;,&quot;View Record in Web of Science&quot;)"/>
    <hyperlink ref="W72" r:id="rId137" display="=HYPERLINK(&quot;http://dx.doi.org/10.1080/00207543.2014.957875&quot;,&quot;http://dx.doi.org/10.1080/00207543.2014.957875&quot;)"/>
    <hyperlink ref="AC72" r:id="rId138" display="=HYPERLINK(&quot;https://www.webofscience.com/wos/woscc/full-record/WOS:000345001500012&quot;,&quot;View Record in Web of Science&quot;)"/>
    <hyperlink ref="W73" r:id="rId139" display="=HYPERLINK(&quot;http://dx.doi.org/10.1016/j.enpol.2012.01.066&quot;,&quot;http://dx.doi.org/10.1016/j.enpol.2012.01.066&quot;)"/>
    <hyperlink ref="AC73" r:id="rId140" display="=HYPERLINK(&quot;https://www.webofscience.com/wos/woscc/full-record/WOS:000302848700034&quot;,&quot;View Record in Web of Science&quot;)"/>
    <hyperlink ref="W74" r:id="rId141" display="=HYPERLINK(&quot;http://dx.doi.org/10.1016/j.cie.2024.110580&quot;,&quot;http://dx.doi.org/10.1016/j.cie.2024.110580&quot;)"/>
    <hyperlink ref="AC74" r:id="rId142" display="=HYPERLINK(&quot;https://www.webofscience.com/wos/woscc/full-record/WOS:001320800200001&quot;,&quot;View Record in Web of Science&quot;)"/>
    <hyperlink ref="W75" r:id="rId143" display="=HYPERLINK(&quot;http://dx.doi.org/10.3390/math8040466&quot;,&quot;http://dx.doi.org/10.3390/math8040466&quot;)"/>
    <hyperlink ref="AC75" r:id="rId144" display="=HYPERLINK(&quot;https://www.webofscience.com/wos/woscc/full-record/WOS:000531824100006&quot;,&quot;View Record in Web of Science&quot;)"/>
    <hyperlink ref="W76" r:id="rId145" display="=HYPERLINK(&quot;http://dx.doi.org/10.1016/j.apenergy.2020.114605&quot;,&quot;http://dx.doi.org/10.1016/j.apenergy.2020.114605&quot;)"/>
    <hyperlink ref="AC76" r:id="rId146" display="=HYPERLINK(&quot;https://www.webofscience.com/wos/woscc/full-record/WOS:000520402600040&quot;,&quot;View Record in Web of Science&quot;)"/>
    <hyperlink ref="W77" r:id="rId147" display="=HYPERLINK(&quot;http://dx.doi.org/10.3390/systems11030126&quot;,&quot;http://dx.doi.org/10.3390/systems11030126&quot;)"/>
    <hyperlink ref="AC77" r:id="rId148" display="=HYPERLINK(&quot;https://www.webofscience.com/wos/woscc/full-record/WOS:000958158300001&quot;,&quot;View Record in Web of Science&quot;)"/>
    <hyperlink ref="W78" r:id="rId149" display="=HYPERLINK(&quot;http://dx.doi.org/10.1016/j.eswa.2023.121466&quot;,&quot;http://dx.doi.org/10.1016/j.eswa.2023.121466&quot;)"/>
    <hyperlink ref="AC78" r:id="rId150" display="=HYPERLINK(&quot;https://www.webofscience.com/wos/woscc/full-record/WOS:001076000300001&quot;,&quot;View Record in Web of Science&quot;)"/>
    <hyperlink ref="W79" r:id="rId151" display="=HYPERLINK(&quot;http://dx.doi.org/10.1007/s10479-019-03365-1&quot;,&quot;http://dx.doi.org/10.1007/s10479-019-03365-1&quot;)"/>
    <hyperlink ref="AC79" r:id="rId152" display="=HYPERLINK(&quot;https://www.webofscience.com/wos/woscc/full-record/WOS:000640575000013&quot;,&quot;View Record in Web of Science&quot;)"/>
    <hyperlink ref="W80" r:id="rId153" display="=HYPERLINK(&quot;http://dx.doi.org/10.1007/s12351-025-01014-z&quot;,&quot;http://dx.doi.org/10.1007/s12351-025-01014-z&quot;)"/>
    <hyperlink ref="AC80" r:id="rId154" display="=HYPERLINK(&quot;https://www.webofscience.com/wos/woscc/full-record/WOS:001716530100008&quot;,&quot;View Record in Web of Science&quot;)"/>
    <hyperlink ref="W81" r:id="rId155" display="=HYPERLINK(&quot;http://dx.doi.org/10.1016/j.ejor.2021.03.017&quot;,&quot;http://dx.doi.org/10.1016/j.ejor.2021.03.017&quot;)"/>
    <hyperlink ref="AC81" r:id="rId156" display="=HYPERLINK(&quot;https://www.webofscience.com/wos/woscc/full-record/WOS:000668929800008&quot;,&quot;View Record in Web of Science&quot;)"/>
    <hyperlink ref="W82" r:id="rId157" display="=HYPERLINK(&quot;http://dx.doi.org/10.1016/j.jclepro.2024.144523&quot;,&quot;http://dx.doi.org/10.1016/j.jclepro.2024.144523&quot;)"/>
    <hyperlink ref="AC82" r:id="rId158" display="=HYPERLINK(&quot;https://www.webofscience.com/wos/woscc/full-record/WOS:001401663000001&quot;,&quot;View Record in Web of Science&quot;)"/>
    <hyperlink ref="W83" r:id="rId159" display="=HYPERLINK(&quot;http://dx.doi.org/10.1007/s11356-023-28417-9&quot;,&quot;http://dx.doi.org/10.1007/s11356-023-28417-9&quot;)"/>
    <hyperlink ref="AC83" r:id="rId160" display="=HYPERLINK(&quot;https://www.webofscience.com/wos/woscc/full-record/WOS:001022818100003&quot;,&quot;View Record in Web of Science&quot;)"/>
    <hyperlink ref="W84" r:id="rId161" display="=HYPERLINK(&quot;http://dx.doi.org/10.1016/j.cie.2018.11.059&quot;,&quot;http://dx.doi.org/10.1016/j.cie.2018.11.059&quot;)"/>
    <hyperlink ref="AC84" r:id="rId162" display="=HYPERLINK(&quot;https://www.webofscience.com/wos/woscc/full-record/WOS:000458221900002&quot;,&quot;View Record in Web of Science&quot;)"/>
    <hyperlink ref="W85" r:id="rId163" display="=HYPERLINK(&quot;http://dx.doi.org/10.1016/j.jclepro.2017.05.021&quot;,&quot;http://dx.doi.org/10.1016/j.jclepro.2017.05.021&quot;)"/>
    <hyperlink ref="AC85" r:id="rId164" display="=HYPERLINK(&quot;https://www.webofscience.com/wos/woscc/full-record/WOS:000403854200002&quot;,&quot;View Record in Web of Science&quot;)"/>
    <hyperlink ref="W86" r:id="rId165" display="=HYPERLINK(&quot;http://dx.doi.org/10.1039/d3va00057e&quot;,&quot;http://dx.doi.org/10.1039/d3va00057e&quot;)"/>
    <hyperlink ref="AC86" r:id="rId166" display="=HYPERLINK(&quot;https://www.webofscience.com/wos/woscc/full-record/WOS:001107606200001&quot;,&quot;View Record in Web of Science&quot;)"/>
    <hyperlink ref="W87" r:id="rId167" display="=HYPERLINK(&quot;http://dx.doi.org/10.3390/ijerph19084653&quot;,&quot;http://dx.doi.org/10.3390/ijerph19084653&quot;)"/>
    <hyperlink ref="AC87" r:id="rId168" display="=HYPERLINK(&quot;https://www.webofscience.com/wos/woscc/full-record/WOS:000787972000001&quot;,&quot;View Record in Web of Science&quot;)"/>
    <hyperlink ref="W88" r:id="rId169" display="=HYPERLINK(&quot;http://dx.doi.org/10.1016/j.eneco.2024.107955&quot;,&quot;http://dx.doi.org/10.1016/j.eneco.2024.107955&quot;)"/>
    <hyperlink ref="AC88" r:id="rId170" display="=HYPERLINK(&quot;https://www.webofscience.com/wos/woscc/full-record/WOS:001342213000001&quot;,&quot;View Record in Web of Science&quot;)"/>
    <hyperlink ref="W89" r:id="rId171" display="=HYPERLINK(&quot;http://dx.doi.org/10.1016/j.jclepro.2019.117988&quot;,&quot;http://dx.doi.org/10.1016/j.jclepro.2019.117988&quot;)"/>
    <hyperlink ref="AC89" r:id="rId172" display="=HYPERLINK(&quot;https://www.webofscience.com/wos/woscc/full-record/WOS:000487237100109&quot;,&quot;View Record in Web of Science&quot;)"/>
    <hyperlink ref="W90" r:id="rId173" display="=HYPERLINK(&quot;http://dx.doi.org/10.1016/j.cie.2025.110930&quot;,&quot;http://dx.doi.org/10.1016/j.cie.2025.110930&quot;)"/>
    <hyperlink ref="AC90" r:id="rId174" display="=HYPERLINK(&quot;https://www.webofscience.com/wos/woscc/full-record/WOS:001425393900001&quot;,&quot;View Record in Web of Science&quot;)"/>
    <hyperlink ref="W91" r:id="rId175" display="=HYPERLINK(&quot;http://dx.doi.org/10.1016/j.jclepro.2019.01.067&quot;,&quot;http://dx.doi.org/10.1016/j.jclepro.2019.01.067&quot;)"/>
    <hyperlink ref="AC91" r:id="rId176" display="=HYPERLINK(&quot;https://www.webofscience.com/wos/woscc/full-record/WOS:000459358300111&quot;,&quot;View Record in Web of Science&quot;)"/>
    <hyperlink ref="W2" r:id="rId177" display="=HYPERLINK(&quot;http://dx.doi.org/10.1016/j.psep.2024.10.121&quot;,&quot;http://dx.doi.org/10.1016/j.psep.2024.10.121&quot;)"/>
  </hyperlinks>
  <printOptions horizontalCentered="1"/>
  <pageMargins left="0.7" right="0.7" top="0.75" bottom="0.75" header="0.3" footer="0.3"/>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Publications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cp:lastModifiedBy>
  <dcterms:created xsi:type="dcterms:W3CDTF">2026-04-25T05:03:00Z</dcterms:created>
  <dcterms:modified xsi:type="dcterms:W3CDTF">2026-04-27T10:08:55Z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808FE2D50A1565A9956AEB6953E6F356_42</vt:lpwstr>
  </property>
  <property fmtid="{D5CDD505-2E9C-101B-9397-08002B2CF9AE}" pid="3" name="KSOProductBuildVer">
    <vt:lpwstr>2052-12.1.24709.24709</vt:lpwstr>
  </property>
  <property fmtid="{D5CDD505-2E9C-101B-9397-08002B2CF9AE}" pid="4" name="CalculationRule">
    <vt:i4>0</vt:i4>
  </property>
</Properties>
</file>